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Identificación Casos" sheetId="2" r:id="rId5"/>
    <sheet state="visible" name="Control" sheetId="3" r:id="rId6"/>
    <sheet state="hidden" name="Datos del plan" sheetId="4" r:id="rId7"/>
  </sheets>
  <definedNames>
    <definedName hidden="1" localSheetId="1" name="Z_E574F96D_7E82_42C1_BF21_CE383A1E5E4F_.wvu.FilterData">'Identificación Casos'!$A$1:$K$101</definedName>
  </definedNames>
  <calcPr/>
  <customWorkbookViews>
    <customWorkbookView activeSheetId="0" maximized="1" windowHeight="0" windowWidth="0" guid="{E574F96D-7E82-42C1-BF21-CE383A1E5E4F}" name="Filtro 1"/>
  </customWorkbookViews>
  <extLst>
    <ext uri="GoogleSheetsCustomDataVersion2">
      <go:sheetsCustomData xmlns:go="http://customooxmlschemas.google.com/" r:id="rId8" roundtripDataChecksum="jWnqcZLutDMb5zaF+C5U/jogKOpgIWhkO5vauvxn5BY="/>
    </ext>
  </extLst>
</workbook>
</file>

<file path=xl/sharedStrings.xml><?xml version="1.0" encoding="utf-8"?>
<sst xmlns="http://schemas.openxmlformats.org/spreadsheetml/2006/main" count="352" uniqueCount="181">
  <si>
    <t xml:space="preserve">Plan de prueba proyecto </t>
  </si>
  <si>
    <t>Integrantes:
Felipe Heredia, Jefe de proyecto
Bastian Moya, Tester QA</t>
  </si>
  <si>
    <t>ID</t>
  </si>
  <si>
    <t>Nombre de la prueba</t>
  </si>
  <si>
    <t>Tipo</t>
  </si>
  <si>
    <t>Resultado esperado</t>
  </si>
  <si>
    <t>Resultado obtenido</t>
  </si>
  <si>
    <t>Modulo a probar</t>
  </si>
  <si>
    <t>Resultado</t>
  </si>
  <si>
    <t>Candidato a automatizar</t>
  </si>
  <si>
    <t>Observación</t>
  </si>
  <si>
    <t>Responsable ejecución</t>
  </si>
  <si>
    <t>Complejidad</t>
  </si>
  <si>
    <t>MTC_1</t>
  </si>
  <si>
    <t>Login</t>
  </si>
  <si>
    <t>Funcional</t>
  </si>
  <si>
    <t>El sistema debe permitir autenticar y validar el ingreso de sus usuarios</t>
  </si>
  <si>
    <t xml:space="preserve"> El sistema autentifica y valida el ingreso de usuario de manera exitosa</t>
  </si>
  <si>
    <t xml:space="preserve">Inicio de sesión y autenticación
</t>
  </si>
  <si>
    <t>OK</t>
  </si>
  <si>
    <t>NO</t>
  </si>
  <si>
    <t>Sin observaciones</t>
  </si>
  <si>
    <t>felipe heredia</t>
  </si>
  <si>
    <t>Media</t>
  </si>
  <si>
    <t>MTC_2</t>
  </si>
  <si>
    <t>Nuevo cliente</t>
  </si>
  <si>
    <t>El sistema debe permitir el el registro de un nuevo cliente</t>
  </si>
  <si>
    <t xml:space="preserve">El sisterma registra de manera exitosa a los clientes </t>
  </si>
  <si>
    <t>Registro de cliente</t>
  </si>
  <si>
    <t>MTC_3</t>
  </si>
  <si>
    <t>Eliminar cliente</t>
  </si>
  <si>
    <t>El sistema debe de permitir eliminar un cliente</t>
  </si>
  <si>
    <t>El sistema elimina de manera exitosa a un cliente</t>
  </si>
  <si>
    <t>eliminar cliente</t>
  </si>
  <si>
    <t>Alta</t>
  </si>
  <si>
    <t>MTC_4</t>
  </si>
  <si>
    <t>Registro Transportista</t>
  </si>
  <si>
    <t>Registro de usuario con rol Transportista y datos de camion validos.</t>
  </si>
  <si>
    <t>El sistema registra al transportista existosamente</t>
  </si>
  <si>
    <t>Modulo Registro</t>
  </si>
  <si>
    <t>Bastian Moya</t>
  </si>
  <si>
    <t>Baja</t>
  </si>
  <si>
    <t>MTC_5</t>
  </si>
  <si>
    <t>El sistema debe validar que el Rut sea real al momento de crear la cuenta</t>
  </si>
  <si>
    <t>el sistema permite rut no reales con convinaciones extranas</t>
  </si>
  <si>
    <t>Modulo transportista</t>
  </si>
  <si>
    <t>NOK</t>
  </si>
  <si>
    <t>Se DEBE crear script de corroboracion para digito verificador y asi evitar ruts falsos</t>
  </si>
  <si>
    <t>MTC_6</t>
  </si>
  <si>
    <t>Registro empresa</t>
  </si>
  <si>
    <t>Modulo registro</t>
  </si>
  <si>
    <t>MTC_7</t>
  </si>
  <si>
    <t>Publicar Carga</t>
  </si>
  <si>
    <t>Empresa crea carga definiendo origen, destino y tarifa.</t>
  </si>
  <si>
    <t>El sistema publica la carga de la empresa correctamente</t>
  </si>
  <si>
    <t>Modulo Publicacion</t>
  </si>
  <si>
    <t>MTC_8</t>
  </si>
  <si>
    <t>Aceptar postulacion</t>
  </si>
  <si>
    <t>Empresa acepta a chofer y se genera el viaje</t>
  </si>
  <si>
    <t>La empresa acepta la postulacion y se inicia el viaje con exito</t>
  </si>
  <si>
    <t>Modulo Postulacion</t>
  </si>
  <si>
    <t>La carga cambió de estado 'Publicada' a 'Asignada' inmediatamente.</t>
  </si>
  <si>
    <t>MTC_9</t>
  </si>
  <si>
    <t>Procesar pagos</t>
  </si>
  <si>
    <t>Redireccion a Stripe y confirmacion de pago</t>
  </si>
  <si>
    <t>El sistema redirige la pagina de pago de Stripe para procesar pagos</t>
  </si>
  <si>
    <t>Modulo Pagos</t>
  </si>
  <si>
    <t>MTC_10</t>
  </si>
  <si>
    <t>Calculo de Ruta</t>
  </si>
  <si>
    <t>El mapa (Leaflet) muestra el trazado y calcula km</t>
  </si>
  <si>
    <t>El sistema calcula correctamente la ruta del viaje y muestra los kilometros totales</t>
  </si>
  <si>
    <t>Modulo Mapas</t>
  </si>
  <si>
    <t>Distancia calculada coincide con Google Maps (+- 5%). Polilínea se dibuja correctamente.</t>
  </si>
  <si>
    <t>MTC_11</t>
  </si>
  <si>
    <t>Calificar Usuario</t>
  </si>
  <si>
    <t>Guardado de reseña tras finalizar viaje.</t>
  </si>
  <si>
    <t>La reseña se guardó y el promedio del usuario se actualizó.</t>
  </si>
  <si>
    <t>Modulo Reseñas</t>
  </si>
  <si>
    <t>Se validó que no permite calificar dos veces el mismo viaje. Promedio se actualiza real-time.</t>
  </si>
  <si>
    <t>MTC_12</t>
  </si>
  <si>
    <t>Editar carga</t>
  </si>
  <si>
    <t>Empresa modifica tarifa/peso de carga no asignada.</t>
  </si>
  <si>
    <t>Los cambios en el peso y tarifa se guardaron correctamente en la BD.</t>
  </si>
  <si>
    <t>Modulo cargas</t>
  </si>
  <si>
    <t>MTC_13</t>
  </si>
  <si>
    <t>Eliminar Carga</t>
  </si>
  <si>
    <t>Empresa elimina carga publicada.</t>
  </si>
  <si>
    <t>La carga cambió de estado a 'Cancelada' y ya no es visible.</t>
  </si>
  <si>
    <t>MTC_14</t>
  </si>
  <si>
    <t>Rechazar postulante</t>
  </si>
  <si>
    <t>Empresa rechaza chofer, carga sigue disponible.</t>
  </si>
  <si>
    <t>Estado de postulación cambió a 'Rechazada' y se notificó al usuario.</t>
  </si>
  <si>
    <t>Modulo postulaciones</t>
  </si>
  <si>
    <t>El transportista desapareció de la lista de candidatos activos. Estado en BD actualizado.</t>
  </si>
  <si>
    <t>MTC_15</t>
  </si>
  <si>
    <t>Confirmar entrega</t>
  </si>
  <si>
    <t>Empresa valida fin del viaje para liberar pago.</t>
  </si>
  <si>
    <t>El viaje finalizó correctamente y se habilitó el flujo de liberación de pago.</t>
  </si>
  <si>
    <t>Modulo viajes</t>
  </si>
  <si>
    <t>MTC_16</t>
  </si>
  <si>
    <t>Ver perfil transportista</t>
  </si>
  <si>
    <t>Empresa ve reputación y camión del postulante.</t>
  </si>
  <si>
    <t>Se desplegó correctamente el modal con la info del chofer y su camión.</t>
  </si>
  <si>
    <t>Modulo perfiles</t>
  </si>
  <si>
    <t>MTC_17</t>
  </si>
  <si>
    <t>Aceptar CARGA</t>
  </si>
  <si>
    <t>EL sistema no permite  aceptar cargas con camiones diferentes a los especificados en esta</t>
  </si>
  <si>
    <t>el sistema no permite aceptar la carga y entrega mensaje sobre el error</t>
  </si>
  <si>
    <t>Modulo cargas disponibles</t>
  </si>
  <si>
    <t>el programa entrega mensajes de error pero necesita ser mas especifico</t>
  </si>
  <si>
    <t>Felipe Heredia</t>
  </si>
  <si>
    <t>MTC_18</t>
  </si>
  <si>
    <t>EL sistema no permite  aceptar cargas  si el camion seleccionado posee menor capacidad de carga de la requerida</t>
  </si>
  <si>
    <t>MTC_19</t>
  </si>
  <si>
    <t>Iniciar carga</t>
  </si>
  <si>
    <t>el sistema no permite iniciar un viaje si  no es la hora corrrespondiente</t>
  </si>
  <si>
    <t>el sistema no permite iniciar la carga y entrega mensaje sobre el error</t>
  </si>
  <si>
    <t>modulo DASHBOARD transportista</t>
  </si>
  <si>
    <t>sistema entrega mensaje de error correspondiente</t>
  </si>
  <si>
    <t>MTC_20</t>
  </si>
  <si>
    <t xml:space="preserve">Registrar camion </t>
  </si>
  <si>
    <t>el sistema no debe permitir crear camiones con capacidad de carga superior a 100T</t>
  </si>
  <si>
    <t>el sistema permite crear camiones mayores a 100T</t>
  </si>
  <si>
    <t>modulo creacion de camiones</t>
  </si>
  <si>
    <t>Codificar la regla de negocio para no permitir camiones superiores a 100T</t>
  </si>
  <si>
    <t>MTC_21</t>
  </si>
  <si>
    <t>Eliminar camion en ruta</t>
  </si>
  <si>
    <t>El sistema no debe permitir eliminar camiones que se encuentren en ruta</t>
  </si>
  <si>
    <t>el sistema no permite eliminar camiones en ruta y bloquea los botones</t>
  </si>
  <si>
    <t xml:space="preserve">la pagina marca la tarjeta en rojo cuando esta en ruta dando a entender qe no se puede modificar </t>
  </si>
  <si>
    <t>MTC_22</t>
  </si>
  <si>
    <t>Editar camion en ruta</t>
  </si>
  <si>
    <t>El sistema no debe permitir editar camiones que se encuentren en ruta</t>
  </si>
  <si>
    <t>el sistema no permite editar camiones en ruta y bloquea los botones</t>
  </si>
  <si>
    <t>MTC_23</t>
  </si>
  <si>
    <t xml:space="preserve">Editar camion </t>
  </si>
  <si>
    <t>El sistema debe permitir modificar campos como marca, modelo y tonelaje</t>
  </si>
  <si>
    <t>el sisttema cumple y deja modifcar lo solicitado</t>
  </si>
  <si>
    <t>no permite cambiar patente, lo que esta correcto para seguridad</t>
  </si>
  <si>
    <t>MTC_24</t>
  </si>
  <si>
    <t xml:space="preserve">Eliminar camion </t>
  </si>
  <si>
    <t>Sistema permite borrar camiones disponibles</t>
  </si>
  <si>
    <t>el sistema es capaz de eliminar camiones disponibles</t>
  </si>
  <si>
    <t>MTC_25</t>
  </si>
  <si>
    <t>Eliminar perfil</t>
  </si>
  <si>
    <t>El sistema permite al ADMIN eliminar perfiles creados.</t>
  </si>
  <si>
    <t>el sistema permite eliminar perfiles seleccionados</t>
  </si>
  <si>
    <t>modulo ADMIN</t>
  </si>
  <si>
    <t>sin comentarios</t>
  </si>
  <si>
    <t>MTC_26</t>
  </si>
  <si>
    <t>Descarga de informes</t>
  </si>
  <si>
    <t>El sistema entrega archivos excel con la informacion entregada(usuarios,camiones, bitacora,etc)</t>
  </si>
  <si>
    <t xml:space="preserve">el sistema entrega un archivo excel con la informacion seleccionada </t>
  </si>
  <si>
    <t>MTC_27</t>
  </si>
  <si>
    <t>Login admin</t>
  </si>
  <si>
    <t>Admin accede con privilegios elevados.</t>
  </si>
  <si>
    <t>Acceso correcto a /admin-dashboard</t>
  </si>
  <si>
    <t>Modulo ADMIN</t>
  </si>
  <si>
    <t>MTC_28</t>
  </si>
  <si>
    <t>Logs de seguridad</t>
  </si>
  <si>
    <t>Admin ve accesos fallidos.</t>
  </si>
  <si>
    <t>Tabla mostró logs y timestamps de intentos</t>
  </si>
  <si>
    <t>Casos</t>
  </si>
  <si>
    <t>No ejecutado</t>
  </si>
  <si>
    <t>Bloqueado</t>
  </si>
  <si>
    <t>Obsoleto</t>
  </si>
  <si>
    <t>Total de casos</t>
  </si>
  <si>
    <t>% de  avance</t>
  </si>
  <si>
    <t>Total casos que ejecuto cada integrante del equipo</t>
  </si>
  <si>
    <t>Nicolas Lizama</t>
  </si>
  <si>
    <t>Vincenzo Orellana</t>
  </si>
  <si>
    <t>Diego Rojas</t>
  </si>
  <si>
    <t>Total Casos</t>
  </si>
  <si>
    <t>SI</t>
  </si>
  <si>
    <t>No Funcional</t>
  </si>
  <si>
    <t>UAT</t>
  </si>
  <si>
    <t>Código</t>
  </si>
  <si>
    <t>End to End</t>
  </si>
  <si>
    <t>Stress</t>
  </si>
  <si>
    <t>Rendimiento</t>
  </si>
  <si>
    <t>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</si>
</sst>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/>
    <font>
      <sz val="11.0"/>
      <color rgb="FF000000"/>
      <name val="Calibri"/>
    </font>
    <font>
      <color theme="1"/>
      <name val="Calibri"/>
      <scheme val="minor"/>
    </font>
    <font>
      <color theme="1"/>
      <name val="Calibri"/>
    </font>
    <font>
      <sz val="11.0"/>
      <color rgb="FF000000"/>
      <name val="Inconsolata"/>
    </font>
    <font>
      <sz val="2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2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</border>
    <border>
      <top/>
    </border>
    <border>
      <left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7" fillId="2" fontId="1" numFmtId="0" xfId="0" applyAlignment="1" applyBorder="1" applyFont="1">
      <alignment horizontal="left" readingOrder="0" shrinkToFit="0" vertical="top" wrapText="1"/>
    </xf>
    <xf borderId="10" fillId="2" fontId="1" numFmtId="0" xfId="0" applyBorder="1" applyFont="1"/>
    <xf borderId="11" fillId="2" fontId="1" numFmtId="0" xfId="0" applyBorder="1" applyFont="1"/>
    <xf borderId="12" fillId="2" fontId="1" numFmtId="0" xfId="0" applyBorder="1" applyFont="1"/>
    <xf quotePrefix="1" borderId="13" fillId="3" fontId="1" numFmtId="0" xfId="0" applyAlignment="1" applyBorder="1" applyFill="1" applyFont="1">
      <alignment horizontal="center"/>
    </xf>
    <xf borderId="13" fillId="3" fontId="1" numFmtId="0" xfId="0" applyAlignment="1" applyBorder="1" applyFont="1">
      <alignment horizontal="center"/>
    </xf>
    <xf borderId="13" fillId="3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0" fillId="0" fontId="1" numFmtId="0" xfId="0" applyFont="1"/>
    <xf borderId="16" fillId="4" fontId="1" numFmtId="1" xfId="0" applyAlignment="1" applyBorder="1" applyFill="1" applyFont="1" applyNumberFormat="1">
      <alignment horizontal="left" shrinkToFit="0" vertical="center" wrapText="1"/>
    </xf>
    <xf borderId="16" fillId="4" fontId="4" numFmtId="0" xfId="0" applyAlignment="1" applyBorder="1" applyFont="1">
      <alignment horizontal="left" shrinkToFit="0" vertical="center" wrapText="1"/>
    </xf>
    <xf borderId="16" fillId="4" fontId="1" numFmtId="0" xfId="0" applyAlignment="1" applyBorder="1" applyFont="1">
      <alignment horizontal="left" shrinkToFit="0" vertical="center" wrapText="1"/>
    </xf>
    <xf borderId="17" fillId="4" fontId="1" numFmtId="0" xfId="0" applyAlignment="1" applyBorder="1" applyFont="1">
      <alignment horizontal="left" readingOrder="0" shrinkToFit="0" vertical="center" wrapText="1"/>
    </xf>
    <xf borderId="16" fillId="3" fontId="1" numFmtId="0" xfId="0" applyAlignment="1" applyBorder="1" applyFont="1">
      <alignment horizontal="left" shrinkToFit="0" vertical="center" wrapText="1"/>
    </xf>
    <xf borderId="1" fillId="3" fontId="1" numFmtId="0" xfId="0" applyBorder="1" applyFont="1"/>
    <xf borderId="16" fillId="4" fontId="4" numFmtId="0" xfId="0" applyAlignment="1" applyBorder="1" applyFont="1">
      <alignment horizontal="left" readingOrder="0" shrinkToFit="0" vertical="center" wrapText="1"/>
    </xf>
    <xf borderId="16" fillId="4" fontId="1" numFmtId="0" xfId="0" applyAlignment="1" applyBorder="1" applyFont="1">
      <alignment horizontal="left" readingOrder="0" shrinkToFit="0" vertical="center" wrapText="1"/>
    </xf>
    <xf borderId="16" fillId="3" fontId="1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4" fontId="4" numFmtId="0" xfId="0" applyAlignment="1" applyFont="1">
      <alignment horizontal="left" readingOrder="0" shrinkToFit="0" wrapText="1"/>
    </xf>
    <xf borderId="18" fillId="4" fontId="1" numFmtId="0" xfId="0" applyAlignment="1" applyBorder="1" applyFont="1">
      <alignment readingOrder="0" shrinkToFit="0" wrapText="1"/>
    </xf>
    <xf borderId="18" fillId="3" fontId="1" numFmtId="0" xfId="0" applyAlignment="1" applyBorder="1" applyFont="1">
      <alignment readingOrder="0" shrinkToFit="0" wrapText="1"/>
    </xf>
    <xf borderId="19" fillId="4" fontId="1" numFmtId="0" xfId="0" applyAlignment="1" applyBorder="1" applyFont="1">
      <alignment readingOrder="0" shrinkToFit="0" wrapText="1"/>
    </xf>
    <xf borderId="19" fillId="4" fontId="1" numFmtId="0" xfId="0" applyAlignment="1" applyBorder="1" applyFont="1">
      <alignment horizontal="left" readingOrder="0" shrinkToFit="0" wrapText="1"/>
    </xf>
    <xf borderId="19" fillId="3" fontId="1" numFmtId="0" xfId="0" applyAlignment="1" applyBorder="1" applyFont="1">
      <alignment readingOrder="0" shrinkToFit="0" wrapText="1"/>
    </xf>
    <xf borderId="16" fillId="4" fontId="1" numFmtId="1" xfId="0" applyAlignment="1" applyBorder="1" applyFont="1" applyNumberFormat="1">
      <alignment horizontal="left" readingOrder="0" shrinkToFit="0" vertical="center" wrapText="1"/>
    </xf>
    <xf borderId="19" fillId="4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0" fillId="4" fontId="4" numFmtId="0" xfId="0" applyAlignment="1" applyFont="1">
      <alignment horizontal="left"/>
    </xf>
    <xf borderId="18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0" fillId="0" fontId="6" numFmtId="0" xfId="0" applyFont="1"/>
    <xf borderId="1" fillId="2" fontId="1" numFmtId="0" xfId="0" applyAlignment="1" applyBorder="1" applyFont="1">
      <alignment horizontal="center"/>
    </xf>
    <xf borderId="1" fillId="3" fontId="7" numFmtId="0" xfId="0" applyBorder="1" applyFont="1"/>
    <xf borderId="14" fillId="2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vertical="center"/>
    </xf>
    <xf borderId="16" fillId="2" fontId="1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vertical="center"/>
    </xf>
    <xf borderId="18" fillId="0" fontId="3" numFmtId="0" xfId="0" applyBorder="1" applyFont="1"/>
    <xf borderId="15" fillId="2" fontId="8" numFmtId="164" xfId="0" applyAlignment="1" applyBorder="1" applyFont="1" applyNumberFormat="1">
      <alignment horizontal="center" vertical="center"/>
    </xf>
    <xf borderId="23" fillId="0" fontId="3" numFmtId="0" xfId="0" applyBorder="1" applyFont="1"/>
    <xf borderId="14" fillId="2" fontId="8" numFmtId="9" xfId="0" applyAlignment="1" applyBorder="1" applyFont="1" applyNumberFormat="1">
      <alignment horizontal="center" vertical="center"/>
    </xf>
    <xf borderId="24" fillId="0" fontId="3" numFmtId="0" xfId="0" applyBorder="1" applyFont="1"/>
    <xf borderId="19" fillId="0" fontId="3" numFmtId="0" xfId="0" applyBorder="1" applyFont="1"/>
    <xf borderId="7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2" fillId="2" fontId="1" numFmtId="0" xfId="0" applyBorder="1" applyFont="1"/>
    <xf borderId="13" fillId="2" fontId="1" numFmtId="0" xfId="0" applyBorder="1" applyFont="1"/>
    <xf borderId="26" fillId="0" fontId="3" numFmtId="0" xfId="0" applyBorder="1" applyFont="1"/>
    <xf borderId="27" fillId="0" fontId="3" numFmtId="0" xfId="0" applyBorder="1" applyFont="1"/>
    <xf borderId="14" fillId="2" fontId="1" numFmtId="0" xfId="0" applyBorder="1" applyFont="1"/>
    <xf borderId="28" fillId="0" fontId="3" numFmtId="0" xfId="0" applyBorder="1" applyFont="1"/>
    <xf borderId="16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611309496"/>
        <c:axId val="200547147"/>
      </c:barChart>
      <c:catAx>
        <c:axId val="6113094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547147"/>
      </c:catAx>
      <c:valAx>
        <c:axId val="2005471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1309496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Control!$E$36:$E$38</c:f>
            </c:strRef>
          </c:cat>
          <c:val>
            <c:numRef>
              <c:f>Control!$F$36:$F$38</c:f>
              <c:numCache/>
            </c:numRef>
          </c:val>
        </c:ser>
        <c:ser>
          <c:idx val="1"/>
          <c:order val="1"/>
          <c:cat>
            <c:strRef>
              <c:f>Control!$E$36:$E$38</c:f>
            </c:strRef>
          </c:cat>
          <c:val>
            <c:numRef>
              <c:f>Control!$G$36:$G$38</c:f>
              <c:numCache/>
            </c:numRef>
          </c:val>
        </c:ser>
        <c:axId val="607369990"/>
        <c:axId val="339536179"/>
      </c:barChart>
      <c:catAx>
        <c:axId val="607369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9536179"/>
      </c:catAx>
      <c:valAx>
        <c:axId val="339536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7369990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3</xdr:row>
      <xdr:rowOff>28575</xdr:rowOff>
    </xdr:from>
    <xdr:ext cx="4314825" cy="2714625"/>
    <xdr:graphicFrame>
      <xdr:nvGraphicFramePr>
        <xdr:cNvPr id="53385496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762000</xdr:colOff>
      <xdr:row>19</xdr:row>
      <xdr:rowOff>171450</xdr:rowOff>
    </xdr:from>
    <xdr:ext cx="4429125" cy="2571750"/>
    <xdr:graphicFrame>
      <xdr:nvGraphicFramePr>
        <xdr:cNvPr id="1130548494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4.25" customHeight="1">
      <c r="A1" s="1">
        <v>1.0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4.25" customHeight="1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>
      <c r="A6" s="1"/>
      <c r="B6" s="5"/>
      <c r="C6" s="5"/>
      <c r="D6" s="1"/>
      <c r="E6" s="7" t="s">
        <v>0</v>
      </c>
      <c r="F6" s="8"/>
      <c r="G6" s="8"/>
      <c r="H6" s="8"/>
      <c r="I6" s="8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4.25" customHeight="1">
      <c r="A7" s="1"/>
      <c r="B7" s="5"/>
      <c r="C7" s="5"/>
      <c r="D7" s="1"/>
      <c r="E7" s="9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 customHeight="1">
      <c r="A8" s="1"/>
      <c r="B8" s="5"/>
      <c r="C8" s="5"/>
      <c r="D8" s="1"/>
      <c r="E8" s="9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 customHeight="1">
      <c r="A9" s="1"/>
      <c r="B9" s="5"/>
      <c r="C9" s="5"/>
      <c r="D9" s="1"/>
      <c r="E9" s="9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4.25" customHeight="1">
      <c r="A10" s="1"/>
      <c r="B10" s="5"/>
      <c r="C10" s="5"/>
      <c r="D10" s="1"/>
      <c r="E10" s="9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 customHeight="1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4.25" customHeight="1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4.25" customHeight="1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4.25" customHeight="1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4.25" customHeight="1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4.25" customHeight="1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4.25" customHeight="1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4.25" customHeight="1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4.25" customHeight="1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4.25" customHeight="1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4.25" customHeight="1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4.25" customHeight="1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4.25" customHeight="1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4.25" customHeight="1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4.25" customHeight="1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4.25" customHeight="1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4.25" customHeight="1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4.25" customHeight="1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4.25" customHeight="1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4.25" customHeight="1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4.25" customHeight="1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4.25" customHeight="1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4.25" customHeight="1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6.5" customHeight="1">
      <c r="A35" s="1"/>
      <c r="B35" s="5"/>
      <c r="C35" s="5"/>
      <c r="D35" s="1"/>
      <c r="E35" s="10" t="s">
        <v>1</v>
      </c>
      <c r="F35" s="8"/>
      <c r="G35" s="8"/>
      <c r="H35" s="8"/>
      <c r="I35" s="8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6.5" customHeight="1">
      <c r="A36" s="1"/>
      <c r="B36" s="5"/>
      <c r="C36" s="5"/>
      <c r="D36" s="1"/>
      <c r="E36" s="9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6.5" customHeight="1">
      <c r="A37" s="1"/>
      <c r="B37" s="5"/>
      <c r="C37" s="5"/>
      <c r="D37" s="1"/>
      <c r="E37" s="9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6.5" customHeight="1">
      <c r="A38" s="1"/>
      <c r="B38" s="5"/>
      <c r="C38" s="5"/>
      <c r="D38" s="1"/>
      <c r="E38" s="9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6.5" customHeight="1">
      <c r="A39" s="1"/>
      <c r="B39" s="5"/>
      <c r="C39" s="5"/>
      <c r="D39" s="1"/>
      <c r="E39" s="9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6.5" customHeight="1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4.25" customHeight="1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4.25" customHeight="1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4.25" customHeight="1">
      <c r="A43" s="1"/>
      <c r="B43" s="5"/>
      <c r="C43" s="11"/>
      <c r="D43" s="12"/>
      <c r="E43" s="12"/>
      <c r="F43" s="12"/>
      <c r="G43" s="12"/>
      <c r="H43" s="12"/>
      <c r="I43" s="12"/>
      <c r="J43" s="12"/>
      <c r="K43" s="13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4.25" customHeight="1">
      <c r="A44" s="1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6:I10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25.43"/>
    <col customWidth="1" min="4" max="5" width="18.29"/>
    <col customWidth="1" min="6" max="6" width="24.71"/>
    <col customWidth="1" min="8" max="8" width="24.14"/>
    <col customWidth="1" min="9" max="9" width="23.29"/>
    <col customWidth="1" min="10" max="10" width="22.43"/>
  </cols>
  <sheetData>
    <row r="1" ht="71.25" customHeight="1">
      <c r="A1" s="14" t="s">
        <v>2</v>
      </c>
      <c r="B1" s="15" t="s">
        <v>3</v>
      </c>
      <c r="C1" s="15" t="s">
        <v>4</v>
      </c>
      <c r="D1" s="15" t="s">
        <v>5</v>
      </c>
      <c r="E1" s="15" t="s">
        <v>6</v>
      </c>
      <c r="F1" s="16" t="s">
        <v>7</v>
      </c>
      <c r="G1" s="16" t="s">
        <v>8</v>
      </c>
      <c r="H1" s="17" t="s">
        <v>9</v>
      </c>
      <c r="I1" s="17" t="s">
        <v>10</v>
      </c>
      <c r="J1" s="18" t="s">
        <v>11</v>
      </c>
      <c r="K1" s="19" t="s">
        <v>12</v>
      </c>
      <c r="L1" s="20"/>
    </row>
    <row r="2" ht="71.25" customHeight="1">
      <c r="A2" s="21" t="s">
        <v>13</v>
      </c>
      <c r="B2" s="22" t="s">
        <v>14</v>
      </c>
      <c r="C2" s="23" t="s">
        <v>15</v>
      </c>
      <c r="D2" s="23" t="s">
        <v>16</v>
      </c>
      <c r="E2" s="23" t="s">
        <v>17</v>
      </c>
      <c r="F2" s="23" t="s">
        <v>18</v>
      </c>
      <c r="G2" s="23" t="s">
        <v>19</v>
      </c>
      <c r="H2" s="23" t="s">
        <v>20</v>
      </c>
      <c r="I2" s="23" t="s">
        <v>21</v>
      </c>
      <c r="J2" s="24" t="s">
        <v>22</v>
      </c>
      <c r="K2" s="25" t="s">
        <v>23</v>
      </c>
      <c r="L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71.25" customHeight="1">
      <c r="A3" s="21" t="s">
        <v>24</v>
      </c>
      <c r="B3" s="22" t="s">
        <v>25</v>
      </c>
      <c r="C3" s="23" t="s">
        <v>15</v>
      </c>
      <c r="D3" s="23" t="s">
        <v>26</v>
      </c>
      <c r="E3" s="23" t="s">
        <v>27</v>
      </c>
      <c r="F3" s="23" t="s">
        <v>28</v>
      </c>
      <c r="G3" s="23" t="s">
        <v>19</v>
      </c>
      <c r="H3" s="23" t="s">
        <v>20</v>
      </c>
      <c r="I3" s="23" t="s">
        <v>21</v>
      </c>
      <c r="J3" s="24" t="s">
        <v>22</v>
      </c>
      <c r="K3" s="25" t="s">
        <v>23</v>
      </c>
      <c r="L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71.25" customHeight="1">
      <c r="A4" s="21" t="s">
        <v>29</v>
      </c>
      <c r="B4" s="22" t="s">
        <v>30</v>
      </c>
      <c r="C4" s="23" t="s">
        <v>15</v>
      </c>
      <c r="D4" s="23" t="s">
        <v>31</v>
      </c>
      <c r="E4" s="23" t="s">
        <v>32</v>
      </c>
      <c r="F4" s="23" t="s">
        <v>33</v>
      </c>
      <c r="G4" s="23" t="s">
        <v>19</v>
      </c>
      <c r="H4" s="23" t="s">
        <v>20</v>
      </c>
      <c r="I4" s="23" t="s">
        <v>21</v>
      </c>
      <c r="J4" s="24" t="s">
        <v>22</v>
      </c>
      <c r="K4" s="25" t="s">
        <v>34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71.25" customHeight="1">
      <c r="A5" s="21" t="s">
        <v>35</v>
      </c>
      <c r="B5" s="27" t="s">
        <v>36</v>
      </c>
      <c r="C5" s="28" t="s">
        <v>15</v>
      </c>
      <c r="D5" s="28" t="s">
        <v>37</v>
      </c>
      <c r="E5" s="28" t="s">
        <v>38</v>
      </c>
      <c r="F5" s="28" t="s">
        <v>39</v>
      </c>
      <c r="G5" s="28" t="s">
        <v>19</v>
      </c>
      <c r="H5" s="28" t="s">
        <v>20</v>
      </c>
      <c r="I5" s="28" t="s">
        <v>21</v>
      </c>
      <c r="J5" s="24" t="s">
        <v>40</v>
      </c>
      <c r="K5" s="29" t="s">
        <v>41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71.25" customHeight="1">
      <c r="A6" s="21" t="s">
        <v>42</v>
      </c>
      <c r="B6" s="27" t="s">
        <v>36</v>
      </c>
      <c r="C6" s="28" t="s">
        <v>15</v>
      </c>
      <c r="D6" s="27" t="s">
        <v>43</v>
      </c>
      <c r="E6" s="27" t="s">
        <v>44</v>
      </c>
      <c r="F6" s="28" t="s">
        <v>45</v>
      </c>
      <c r="G6" s="28" t="s">
        <v>46</v>
      </c>
      <c r="H6" s="28" t="s">
        <v>20</v>
      </c>
      <c r="I6" s="28" t="s">
        <v>47</v>
      </c>
      <c r="J6" s="24" t="s">
        <v>22</v>
      </c>
      <c r="K6" s="29" t="s">
        <v>23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71.25" customHeight="1">
      <c r="A7" s="21" t="s">
        <v>48</v>
      </c>
      <c r="B7" s="27" t="s">
        <v>49</v>
      </c>
      <c r="C7" s="28" t="s">
        <v>15</v>
      </c>
      <c r="D7" s="27" t="s">
        <v>43</v>
      </c>
      <c r="E7" s="27" t="s">
        <v>44</v>
      </c>
      <c r="F7" s="28" t="s">
        <v>50</v>
      </c>
      <c r="G7" s="28" t="s">
        <v>46</v>
      </c>
      <c r="H7" s="28" t="s">
        <v>20</v>
      </c>
      <c r="I7" s="28" t="s">
        <v>47</v>
      </c>
      <c r="J7" s="24" t="s">
        <v>22</v>
      </c>
      <c r="K7" s="29" t="s">
        <v>23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71.25" customHeight="1">
      <c r="A8" s="21" t="s">
        <v>51</v>
      </c>
      <c r="B8" s="27" t="s">
        <v>52</v>
      </c>
      <c r="C8" s="28" t="s">
        <v>15</v>
      </c>
      <c r="D8" s="28" t="s">
        <v>53</v>
      </c>
      <c r="E8" s="28" t="s">
        <v>54</v>
      </c>
      <c r="F8" s="28" t="s">
        <v>55</v>
      </c>
      <c r="G8" s="28" t="s">
        <v>19</v>
      </c>
      <c r="H8" s="28" t="s">
        <v>20</v>
      </c>
      <c r="I8" s="28" t="s">
        <v>21</v>
      </c>
      <c r="J8" s="24" t="s">
        <v>40</v>
      </c>
      <c r="K8" s="29" t="s">
        <v>41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71.25" customHeight="1">
      <c r="A9" s="21" t="s">
        <v>56</v>
      </c>
      <c r="B9" s="27" t="s">
        <v>57</v>
      </c>
      <c r="C9" s="28" t="s">
        <v>15</v>
      </c>
      <c r="D9" s="28" t="s">
        <v>58</v>
      </c>
      <c r="E9" s="28" t="s">
        <v>59</v>
      </c>
      <c r="F9" s="28" t="s">
        <v>60</v>
      </c>
      <c r="G9" s="28" t="s">
        <v>19</v>
      </c>
      <c r="H9" s="28" t="s">
        <v>20</v>
      </c>
      <c r="I9" s="28" t="s">
        <v>61</v>
      </c>
      <c r="J9" s="24" t="s">
        <v>40</v>
      </c>
      <c r="K9" s="29" t="s">
        <v>34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71.25" customHeight="1">
      <c r="A10" s="21" t="s">
        <v>62</v>
      </c>
      <c r="B10" s="27" t="s">
        <v>63</v>
      </c>
      <c r="C10" s="28" t="s">
        <v>15</v>
      </c>
      <c r="D10" s="28" t="s">
        <v>64</v>
      </c>
      <c r="E10" s="28" t="s">
        <v>65</v>
      </c>
      <c r="F10" s="28" t="s">
        <v>66</v>
      </c>
      <c r="G10" s="28" t="s">
        <v>19</v>
      </c>
      <c r="H10" s="28" t="s">
        <v>20</v>
      </c>
      <c r="I10" s="28" t="s">
        <v>21</v>
      </c>
      <c r="J10" s="24" t="s">
        <v>40</v>
      </c>
      <c r="K10" s="29" t="s">
        <v>34</v>
      </c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71.25" customHeight="1">
      <c r="A11" s="21" t="s">
        <v>67</v>
      </c>
      <c r="B11" s="27" t="s">
        <v>68</v>
      </c>
      <c r="C11" s="28" t="s">
        <v>15</v>
      </c>
      <c r="D11" s="28" t="s">
        <v>69</v>
      </c>
      <c r="E11" s="28" t="s">
        <v>70</v>
      </c>
      <c r="F11" s="28" t="s">
        <v>71</v>
      </c>
      <c r="G11" s="28" t="s">
        <v>19</v>
      </c>
      <c r="H11" s="28" t="s">
        <v>20</v>
      </c>
      <c r="I11" s="27" t="s">
        <v>72</v>
      </c>
      <c r="J11" s="24" t="s">
        <v>40</v>
      </c>
      <c r="K11" s="29" t="s">
        <v>34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71.25" customHeight="1">
      <c r="A12" s="21" t="s">
        <v>73</v>
      </c>
      <c r="B12" s="27" t="s">
        <v>74</v>
      </c>
      <c r="C12" s="28" t="s">
        <v>15</v>
      </c>
      <c r="D12" s="28" t="s">
        <v>75</v>
      </c>
      <c r="E12" s="28" t="s">
        <v>76</v>
      </c>
      <c r="F12" s="28" t="s">
        <v>77</v>
      </c>
      <c r="G12" s="28" t="s">
        <v>19</v>
      </c>
      <c r="H12" s="28" t="s">
        <v>20</v>
      </c>
      <c r="I12" s="27" t="s">
        <v>78</v>
      </c>
      <c r="J12" s="24" t="s">
        <v>40</v>
      </c>
      <c r="K12" s="29" t="s">
        <v>41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71.25" customHeight="1">
      <c r="A13" s="21" t="s">
        <v>79</v>
      </c>
      <c r="B13" s="27" t="s">
        <v>80</v>
      </c>
      <c r="C13" s="28" t="s">
        <v>15</v>
      </c>
      <c r="D13" s="28" t="s">
        <v>81</v>
      </c>
      <c r="E13" s="28" t="s">
        <v>82</v>
      </c>
      <c r="F13" s="28" t="s">
        <v>83</v>
      </c>
      <c r="G13" s="28" t="s">
        <v>19</v>
      </c>
      <c r="H13" s="28" t="s">
        <v>20</v>
      </c>
      <c r="I13" s="27" t="s">
        <v>21</v>
      </c>
      <c r="J13" s="24" t="s">
        <v>40</v>
      </c>
      <c r="K13" s="29" t="s">
        <v>23</v>
      </c>
    </row>
    <row r="14" ht="71.25" customHeight="1">
      <c r="A14" s="21" t="s">
        <v>84</v>
      </c>
      <c r="B14" s="27" t="s">
        <v>85</v>
      </c>
      <c r="C14" s="28" t="s">
        <v>15</v>
      </c>
      <c r="D14" s="28" t="s">
        <v>86</v>
      </c>
      <c r="E14" s="28" t="s">
        <v>87</v>
      </c>
      <c r="F14" s="28" t="s">
        <v>83</v>
      </c>
      <c r="G14" s="28" t="s">
        <v>19</v>
      </c>
      <c r="H14" s="28" t="s">
        <v>20</v>
      </c>
      <c r="I14" s="27" t="s">
        <v>21</v>
      </c>
      <c r="J14" s="24" t="s">
        <v>40</v>
      </c>
      <c r="K14" s="29" t="s">
        <v>41</v>
      </c>
    </row>
    <row r="15" ht="71.25" customHeight="1">
      <c r="A15" s="21" t="s">
        <v>88</v>
      </c>
      <c r="B15" s="27" t="s">
        <v>89</v>
      </c>
      <c r="C15" s="28" t="s">
        <v>15</v>
      </c>
      <c r="D15" s="28" t="s">
        <v>90</v>
      </c>
      <c r="E15" s="28" t="s">
        <v>91</v>
      </c>
      <c r="F15" s="28" t="s">
        <v>92</v>
      </c>
      <c r="G15" s="28" t="s">
        <v>19</v>
      </c>
      <c r="H15" s="28" t="s">
        <v>20</v>
      </c>
      <c r="I15" s="27" t="s">
        <v>93</v>
      </c>
      <c r="J15" s="24" t="s">
        <v>40</v>
      </c>
      <c r="K15" s="29" t="s">
        <v>23</v>
      </c>
    </row>
    <row r="16" ht="71.25" customHeight="1">
      <c r="A16" s="21" t="s">
        <v>94</v>
      </c>
      <c r="B16" s="27" t="s">
        <v>95</v>
      </c>
      <c r="C16" s="28" t="s">
        <v>15</v>
      </c>
      <c r="D16" s="28" t="s">
        <v>96</v>
      </c>
      <c r="E16" s="28" t="s">
        <v>97</v>
      </c>
      <c r="F16" s="28" t="s">
        <v>98</v>
      </c>
      <c r="G16" s="28" t="s">
        <v>19</v>
      </c>
      <c r="H16" s="28" t="s">
        <v>20</v>
      </c>
      <c r="I16" s="27" t="s">
        <v>21</v>
      </c>
      <c r="J16" s="24" t="s">
        <v>40</v>
      </c>
      <c r="K16" s="29" t="s">
        <v>34</v>
      </c>
    </row>
    <row r="17" ht="71.25" customHeight="1">
      <c r="A17" s="21" t="s">
        <v>99</v>
      </c>
      <c r="B17" s="27" t="s">
        <v>100</v>
      </c>
      <c r="C17" s="28" t="s">
        <v>15</v>
      </c>
      <c r="D17" s="27" t="s">
        <v>101</v>
      </c>
      <c r="E17" s="28" t="s">
        <v>102</v>
      </c>
      <c r="F17" s="28" t="s">
        <v>103</v>
      </c>
      <c r="G17" s="28" t="s">
        <v>19</v>
      </c>
      <c r="H17" s="28" t="s">
        <v>20</v>
      </c>
      <c r="I17" s="27" t="s">
        <v>21</v>
      </c>
      <c r="J17" s="24" t="s">
        <v>40</v>
      </c>
      <c r="K17" s="29" t="s">
        <v>41</v>
      </c>
    </row>
    <row r="18" ht="71.25" customHeight="1">
      <c r="A18" s="21" t="s">
        <v>104</v>
      </c>
      <c r="B18" s="27" t="s">
        <v>105</v>
      </c>
      <c r="C18" s="28" t="s">
        <v>15</v>
      </c>
      <c r="D18" s="27" t="s">
        <v>106</v>
      </c>
      <c r="E18" s="28" t="s">
        <v>107</v>
      </c>
      <c r="F18" s="28" t="s">
        <v>108</v>
      </c>
      <c r="G18" s="28" t="s">
        <v>19</v>
      </c>
      <c r="H18" s="28" t="s">
        <v>20</v>
      </c>
      <c r="I18" s="27" t="s">
        <v>109</v>
      </c>
      <c r="J18" s="24" t="s">
        <v>110</v>
      </c>
      <c r="K18" s="29" t="s">
        <v>41</v>
      </c>
    </row>
    <row r="19" ht="71.25" customHeight="1">
      <c r="A19" s="21" t="s">
        <v>111</v>
      </c>
      <c r="B19" s="27" t="s">
        <v>105</v>
      </c>
      <c r="C19" s="28" t="s">
        <v>15</v>
      </c>
      <c r="D19" s="27" t="s">
        <v>112</v>
      </c>
      <c r="E19" s="28" t="s">
        <v>107</v>
      </c>
      <c r="F19" s="28" t="s">
        <v>108</v>
      </c>
      <c r="G19" s="28" t="s">
        <v>19</v>
      </c>
      <c r="H19" s="28" t="s">
        <v>20</v>
      </c>
      <c r="I19" s="27" t="s">
        <v>109</v>
      </c>
      <c r="J19" s="24" t="s">
        <v>110</v>
      </c>
      <c r="K19" s="29" t="s">
        <v>41</v>
      </c>
      <c r="O19" s="30"/>
    </row>
    <row r="20" ht="71.25" customHeight="1">
      <c r="A20" s="21" t="s">
        <v>113</v>
      </c>
      <c r="B20" s="27" t="s">
        <v>114</v>
      </c>
      <c r="C20" s="28" t="s">
        <v>15</v>
      </c>
      <c r="D20" s="31" t="s">
        <v>115</v>
      </c>
      <c r="E20" s="28" t="s">
        <v>116</v>
      </c>
      <c r="F20" s="28" t="s">
        <v>117</v>
      </c>
      <c r="G20" s="28" t="s">
        <v>19</v>
      </c>
      <c r="H20" s="28" t="s">
        <v>20</v>
      </c>
      <c r="I20" s="27" t="s">
        <v>118</v>
      </c>
      <c r="J20" s="24" t="s">
        <v>110</v>
      </c>
      <c r="K20" s="29" t="s">
        <v>41</v>
      </c>
    </row>
    <row r="21" ht="71.25" customHeight="1">
      <c r="A21" s="21" t="s">
        <v>119</v>
      </c>
      <c r="B21" s="27" t="s">
        <v>120</v>
      </c>
      <c r="C21" s="28" t="s">
        <v>15</v>
      </c>
      <c r="D21" s="28" t="s">
        <v>121</v>
      </c>
      <c r="E21" s="28" t="s">
        <v>122</v>
      </c>
      <c r="F21" s="28" t="s">
        <v>123</v>
      </c>
      <c r="G21" s="28" t="s">
        <v>19</v>
      </c>
      <c r="H21" s="28" t="s">
        <v>20</v>
      </c>
      <c r="I21" s="27" t="s">
        <v>124</v>
      </c>
      <c r="J21" s="24" t="s">
        <v>110</v>
      </c>
      <c r="K21" s="29" t="s">
        <v>41</v>
      </c>
    </row>
    <row r="22" ht="71.25" customHeight="1">
      <c r="A22" s="21" t="s">
        <v>125</v>
      </c>
      <c r="B22" s="27" t="s">
        <v>126</v>
      </c>
      <c r="C22" s="28" t="s">
        <v>15</v>
      </c>
      <c r="D22" s="28" t="s">
        <v>127</v>
      </c>
      <c r="E22" s="28" t="s">
        <v>128</v>
      </c>
      <c r="F22" s="28" t="s">
        <v>123</v>
      </c>
      <c r="G22" s="28" t="s">
        <v>19</v>
      </c>
      <c r="H22" s="28" t="s">
        <v>20</v>
      </c>
      <c r="I22" s="27" t="s">
        <v>129</v>
      </c>
      <c r="J22" s="24" t="s">
        <v>110</v>
      </c>
      <c r="K22" s="29" t="s">
        <v>41</v>
      </c>
    </row>
    <row r="23" ht="71.25" customHeight="1">
      <c r="A23" s="21" t="s">
        <v>130</v>
      </c>
      <c r="B23" s="27" t="s">
        <v>131</v>
      </c>
      <c r="C23" s="28" t="s">
        <v>15</v>
      </c>
      <c r="D23" s="28" t="s">
        <v>132</v>
      </c>
      <c r="E23" s="28" t="s">
        <v>133</v>
      </c>
      <c r="F23" s="28" t="s">
        <v>123</v>
      </c>
      <c r="G23" s="28" t="s">
        <v>19</v>
      </c>
      <c r="H23" s="28" t="s">
        <v>20</v>
      </c>
      <c r="I23" s="27" t="s">
        <v>129</v>
      </c>
      <c r="J23" s="24" t="s">
        <v>110</v>
      </c>
      <c r="K23" s="29" t="s">
        <v>41</v>
      </c>
    </row>
    <row r="24" ht="71.25" customHeight="1">
      <c r="A24" s="21" t="s">
        <v>134</v>
      </c>
      <c r="B24" s="27" t="s">
        <v>135</v>
      </c>
      <c r="C24" s="32" t="s">
        <v>15</v>
      </c>
      <c r="D24" s="32" t="s">
        <v>136</v>
      </c>
      <c r="E24" s="28" t="s">
        <v>137</v>
      </c>
      <c r="F24" s="28" t="s">
        <v>123</v>
      </c>
      <c r="G24" s="28" t="s">
        <v>19</v>
      </c>
      <c r="H24" s="28" t="s">
        <v>20</v>
      </c>
      <c r="I24" s="27" t="s">
        <v>138</v>
      </c>
      <c r="J24" s="24" t="s">
        <v>110</v>
      </c>
      <c r="K24" s="33" t="s">
        <v>41</v>
      </c>
    </row>
    <row r="25" ht="71.25" customHeight="1">
      <c r="A25" s="21" t="s">
        <v>139</v>
      </c>
      <c r="B25" s="27" t="s">
        <v>140</v>
      </c>
      <c r="C25" s="34" t="s">
        <v>15</v>
      </c>
      <c r="D25" s="35" t="s">
        <v>141</v>
      </c>
      <c r="E25" s="34" t="s">
        <v>142</v>
      </c>
      <c r="F25" s="28" t="s">
        <v>123</v>
      </c>
      <c r="G25" s="28" t="s">
        <v>19</v>
      </c>
      <c r="H25" s="28" t="s">
        <v>20</v>
      </c>
      <c r="I25" s="27" t="s">
        <v>138</v>
      </c>
      <c r="J25" s="24" t="s">
        <v>110</v>
      </c>
      <c r="K25" s="33" t="s">
        <v>41</v>
      </c>
    </row>
    <row r="26" ht="71.25" customHeight="1">
      <c r="A26" s="21" t="s">
        <v>143</v>
      </c>
      <c r="B26" s="34" t="s">
        <v>144</v>
      </c>
      <c r="C26" s="34" t="s">
        <v>15</v>
      </c>
      <c r="D26" s="34" t="s">
        <v>145</v>
      </c>
      <c r="E26" s="34" t="s">
        <v>146</v>
      </c>
      <c r="F26" s="34" t="s">
        <v>147</v>
      </c>
      <c r="G26" s="28" t="s">
        <v>19</v>
      </c>
      <c r="H26" s="28" t="s">
        <v>20</v>
      </c>
      <c r="I26" s="27" t="s">
        <v>148</v>
      </c>
      <c r="J26" s="24" t="s">
        <v>110</v>
      </c>
      <c r="K26" s="36" t="s">
        <v>41</v>
      </c>
    </row>
    <row r="27" ht="71.25" customHeight="1">
      <c r="A27" s="21" t="s">
        <v>149</v>
      </c>
      <c r="B27" s="34" t="s">
        <v>150</v>
      </c>
      <c r="C27" s="34" t="s">
        <v>15</v>
      </c>
      <c r="D27" s="34" t="s">
        <v>151</v>
      </c>
      <c r="E27" s="34" t="s">
        <v>152</v>
      </c>
      <c r="F27" s="34" t="s">
        <v>147</v>
      </c>
      <c r="G27" s="28" t="s">
        <v>19</v>
      </c>
      <c r="H27" s="28" t="s">
        <v>20</v>
      </c>
      <c r="I27" s="27" t="s">
        <v>148</v>
      </c>
      <c r="J27" s="24" t="s">
        <v>110</v>
      </c>
      <c r="K27" s="36" t="s">
        <v>23</v>
      </c>
    </row>
    <row r="28" ht="71.25" customHeight="1">
      <c r="A28" s="37" t="s">
        <v>153</v>
      </c>
      <c r="B28" s="34" t="s">
        <v>154</v>
      </c>
      <c r="C28" s="34" t="s">
        <v>15</v>
      </c>
      <c r="D28" s="34" t="s">
        <v>155</v>
      </c>
      <c r="E28" s="34" t="s">
        <v>156</v>
      </c>
      <c r="F28" s="34" t="s">
        <v>157</v>
      </c>
      <c r="G28" s="34" t="s">
        <v>19</v>
      </c>
      <c r="H28" s="34" t="s">
        <v>20</v>
      </c>
      <c r="I28" s="27" t="s">
        <v>21</v>
      </c>
      <c r="J28" s="24" t="s">
        <v>40</v>
      </c>
      <c r="K28" s="36" t="s">
        <v>23</v>
      </c>
    </row>
    <row r="29" ht="71.25" customHeight="1">
      <c r="A29" s="37" t="s">
        <v>158</v>
      </c>
      <c r="B29" s="34" t="s">
        <v>159</v>
      </c>
      <c r="C29" s="34" t="s">
        <v>15</v>
      </c>
      <c r="D29" s="34" t="s">
        <v>160</v>
      </c>
      <c r="E29" s="34" t="s">
        <v>161</v>
      </c>
      <c r="F29" s="34" t="s">
        <v>157</v>
      </c>
      <c r="G29" s="34" t="s">
        <v>19</v>
      </c>
      <c r="H29" s="34" t="s">
        <v>20</v>
      </c>
      <c r="I29" s="27" t="s">
        <v>21</v>
      </c>
      <c r="J29" s="24" t="s">
        <v>40</v>
      </c>
      <c r="K29" s="36" t="s">
        <v>34</v>
      </c>
    </row>
    <row r="30" ht="71.25" customHeight="1">
      <c r="A30" s="21"/>
      <c r="B30" s="38"/>
      <c r="C30" s="38"/>
      <c r="D30" s="38"/>
      <c r="E30" s="38"/>
      <c r="F30" s="38"/>
      <c r="G30" s="38"/>
      <c r="H30" s="38"/>
      <c r="I30" s="22"/>
      <c r="J30" s="38"/>
      <c r="K30" s="39"/>
    </row>
    <row r="31" ht="71.25" customHeight="1">
      <c r="A31" s="21"/>
      <c r="B31" s="38"/>
      <c r="C31" s="38"/>
      <c r="D31" s="38"/>
      <c r="E31" s="38"/>
      <c r="F31" s="38"/>
      <c r="G31" s="38"/>
      <c r="H31" s="38"/>
      <c r="I31" s="22"/>
      <c r="J31" s="38"/>
      <c r="K31" s="39"/>
    </row>
    <row r="32" ht="71.25" customHeight="1">
      <c r="A32" s="21"/>
      <c r="B32" s="38"/>
      <c r="C32" s="38"/>
      <c r="D32" s="40"/>
      <c r="E32" s="38"/>
      <c r="F32" s="38"/>
      <c r="G32" s="38"/>
      <c r="H32" s="38"/>
      <c r="I32" s="22"/>
      <c r="J32" s="38"/>
      <c r="K32" s="39"/>
    </row>
    <row r="33" ht="71.25" customHeight="1">
      <c r="A33" s="21"/>
      <c r="B33" s="38"/>
      <c r="C33" s="38"/>
      <c r="D33" s="38"/>
      <c r="E33" s="38"/>
      <c r="F33" s="38"/>
      <c r="G33" s="38"/>
      <c r="H33" s="38"/>
      <c r="I33" s="22"/>
      <c r="J33" s="38"/>
      <c r="K33" s="39"/>
    </row>
    <row r="34" ht="71.25" customHeight="1">
      <c r="A34" s="21"/>
      <c r="B34" s="38"/>
      <c r="C34" s="38"/>
      <c r="D34" s="38"/>
      <c r="E34" s="38"/>
      <c r="F34" s="38"/>
      <c r="G34" s="38"/>
      <c r="H34" s="38"/>
      <c r="I34" s="22"/>
      <c r="J34" s="38"/>
      <c r="K34" s="39"/>
    </row>
    <row r="35" ht="71.25" customHeight="1">
      <c r="A35" s="21"/>
      <c r="B35" s="41"/>
      <c r="C35" s="41"/>
      <c r="D35" s="41"/>
      <c r="E35" s="41"/>
      <c r="F35" s="41"/>
      <c r="G35" s="41"/>
      <c r="H35" s="41"/>
      <c r="I35" s="22"/>
      <c r="J35" s="41"/>
      <c r="K35" s="42"/>
    </row>
    <row r="36" ht="71.25" customHeight="1">
      <c r="A36" s="21"/>
      <c r="B36" s="38"/>
      <c r="C36" s="38"/>
      <c r="D36" s="38"/>
      <c r="E36" s="38"/>
      <c r="F36" s="38"/>
      <c r="G36" s="38"/>
      <c r="H36" s="38"/>
      <c r="I36" s="22"/>
      <c r="J36" s="38"/>
      <c r="K36" s="39"/>
    </row>
    <row r="37" ht="71.25" customHeight="1">
      <c r="A37" s="21"/>
      <c r="B37" s="38"/>
      <c r="C37" s="38"/>
      <c r="D37" s="38"/>
      <c r="E37" s="38"/>
      <c r="F37" s="38"/>
      <c r="G37" s="38"/>
      <c r="H37" s="38"/>
      <c r="I37" s="22"/>
      <c r="J37" s="38"/>
      <c r="K37" s="39"/>
    </row>
    <row r="38" ht="71.25" customHeight="1">
      <c r="A38" s="21"/>
      <c r="B38" s="38"/>
      <c r="C38" s="38"/>
      <c r="D38" s="38"/>
      <c r="E38" s="38"/>
      <c r="F38" s="38"/>
      <c r="G38" s="38"/>
      <c r="H38" s="38"/>
      <c r="I38" s="22"/>
      <c r="J38" s="38"/>
      <c r="K38" s="39"/>
    </row>
    <row r="39" ht="71.25" customHeight="1">
      <c r="A39" s="21"/>
      <c r="B39" s="38"/>
      <c r="C39" s="38"/>
      <c r="D39" s="38"/>
      <c r="E39" s="38"/>
      <c r="F39" s="38"/>
      <c r="G39" s="38"/>
      <c r="H39" s="38"/>
      <c r="I39" s="22"/>
      <c r="J39" s="38"/>
      <c r="K39" s="39"/>
    </row>
    <row r="40" ht="71.25" customHeight="1">
      <c r="A40" s="21"/>
      <c r="B40" s="38"/>
      <c r="C40" s="38"/>
      <c r="D40" s="38"/>
      <c r="E40" s="38"/>
      <c r="F40" s="38"/>
      <c r="G40" s="38"/>
      <c r="H40" s="38"/>
      <c r="I40" s="22"/>
      <c r="J40" s="38"/>
      <c r="K40" s="39"/>
    </row>
    <row r="41" ht="71.25" customHeight="1">
      <c r="A41" s="21"/>
      <c r="B41" s="38"/>
      <c r="C41" s="38"/>
      <c r="D41" s="38"/>
      <c r="E41" s="38"/>
      <c r="F41" s="38"/>
      <c r="G41" s="38"/>
      <c r="H41" s="38"/>
      <c r="I41" s="22"/>
      <c r="J41" s="38"/>
      <c r="K41" s="39"/>
    </row>
    <row r="42" ht="71.25" customHeight="1">
      <c r="A42" s="21"/>
      <c r="B42" s="38"/>
      <c r="C42" s="38"/>
      <c r="D42" s="38"/>
      <c r="E42" s="38"/>
      <c r="F42" s="38"/>
      <c r="G42" s="38"/>
      <c r="H42" s="38"/>
      <c r="I42" s="22"/>
      <c r="J42" s="38"/>
      <c r="K42" s="39"/>
    </row>
    <row r="43" ht="71.25" customHeight="1">
      <c r="A43" s="21"/>
      <c r="B43" s="38"/>
      <c r="C43" s="38"/>
      <c r="D43" s="38"/>
      <c r="E43" s="38"/>
      <c r="F43" s="38"/>
      <c r="G43" s="38"/>
      <c r="H43" s="38"/>
      <c r="I43" s="22"/>
      <c r="J43" s="38"/>
      <c r="K43" s="39"/>
    </row>
    <row r="44" ht="71.25" customHeight="1">
      <c r="A44" s="21"/>
      <c r="B44" s="38"/>
      <c r="C44" s="38"/>
      <c r="D44" s="38"/>
      <c r="E44" s="38"/>
      <c r="F44" s="38"/>
      <c r="G44" s="38"/>
      <c r="H44" s="38"/>
      <c r="I44" s="22"/>
      <c r="J44" s="38"/>
      <c r="K44" s="39"/>
    </row>
    <row r="45" ht="71.25" customHeight="1">
      <c r="A45" s="21"/>
      <c r="B45" s="38"/>
      <c r="C45" s="38"/>
      <c r="D45" s="38"/>
      <c r="E45" s="38"/>
      <c r="F45" s="38"/>
      <c r="G45" s="38"/>
      <c r="H45" s="38"/>
      <c r="I45" s="22"/>
      <c r="J45" s="38"/>
      <c r="K45" s="39"/>
    </row>
    <row r="46" ht="71.25" customHeight="1">
      <c r="A46" s="21"/>
      <c r="B46" s="41"/>
      <c r="C46" s="41"/>
      <c r="D46" s="41"/>
      <c r="E46" s="41"/>
      <c r="F46" s="41"/>
      <c r="G46" s="41"/>
      <c r="H46" s="41"/>
      <c r="I46" s="22"/>
      <c r="J46" s="38"/>
      <c r="K46" s="42"/>
    </row>
    <row r="47" ht="71.25" customHeight="1">
      <c r="A47" s="21"/>
      <c r="B47" s="38"/>
      <c r="C47" s="38"/>
      <c r="D47" s="38"/>
      <c r="E47" s="38"/>
      <c r="F47" s="38"/>
      <c r="G47" s="38"/>
      <c r="H47" s="38"/>
      <c r="I47" s="22"/>
      <c r="J47" s="38"/>
      <c r="K47" s="39"/>
    </row>
    <row r="48" ht="71.25" customHeight="1">
      <c r="A48" s="21"/>
      <c r="B48" s="38"/>
      <c r="C48" s="38"/>
      <c r="D48" s="38"/>
      <c r="E48" s="38"/>
      <c r="F48" s="38"/>
      <c r="G48" s="38"/>
      <c r="H48" s="38"/>
      <c r="I48" s="22"/>
      <c r="J48" s="38"/>
      <c r="K48" s="39"/>
    </row>
    <row r="49" ht="71.25" customHeight="1">
      <c r="A49" s="21"/>
      <c r="B49" s="38"/>
      <c r="C49" s="38"/>
      <c r="D49" s="38"/>
      <c r="E49" s="38"/>
      <c r="F49" s="38"/>
      <c r="G49" s="38"/>
      <c r="H49" s="38"/>
      <c r="I49" s="22"/>
      <c r="J49" s="38"/>
      <c r="K49" s="43"/>
    </row>
    <row r="50" ht="71.25" customHeight="1">
      <c r="A50" s="21"/>
      <c r="B50" s="38"/>
      <c r="C50" s="38"/>
      <c r="D50" s="38"/>
      <c r="E50" s="38"/>
      <c r="F50" s="38"/>
      <c r="G50" s="38"/>
      <c r="H50" s="38"/>
      <c r="I50" s="22"/>
      <c r="J50" s="38"/>
      <c r="K50" s="39"/>
    </row>
    <row r="51" ht="71.25" customHeight="1">
      <c r="A51" s="21"/>
      <c r="B51" s="38"/>
      <c r="C51" s="38"/>
      <c r="D51" s="38"/>
      <c r="E51" s="38"/>
      <c r="F51" s="38"/>
      <c r="G51" s="38"/>
      <c r="H51" s="38"/>
      <c r="I51" s="22"/>
      <c r="J51" s="38"/>
      <c r="K51" s="39"/>
    </row>
    <row r="52" ht="71.25" customHeight="1">
      <c r="A52" s="21"/>
      <c r="B52" s="38"/>
      <c r="C52" s="38"/>
      <c r="D52" s="38"/>
      <c r="E52" s="38"/>
      <c r="F52" s="38"/>
      <c r="G52" s="38"/>
      <c r="H52" s="38"/>
      <c r="I52" s="22"/>
      <c r="J52" s="38"/>
      <c r="K52" s="39"/>
    </row>
    <row r="53" ht="71.25" customHeight="1">
      <c r="A53" s="21"/>
      <c r="B53" s="38"/>
      <c r="C53" s="38"/>
      <c r="D53" s="38"/>
      <c r="E53" s="38"/>
      <c r="F53" s="38"/>
      <c r="G53" s="38"/>
      <c r="H53" s="38"/>
      <c r="I53" s="22"/>
      <c r="J53" s="38"/>
      <c r="K53" s="39"/>
    </row>
    <row r="54" ht="71.25" customHeight="1">
      <c r="A54" s="21"/>
      <c r="B54" s="38"/>
      <c r="C54" s="38"/>
      <c r="D54" s="38"/>
      <c r="E54" s="38"/>
      <c r="F54" s="38"/>
      <c r="G54" s="38"/>
      <c r="H54" s="38"/>
      <c r="I54" s="22"/>
      <c r="J54" s="38"/>
      <c r="K54" s="39"/>
    </row>
    <row r="55" ht="71.25" customHeight="1">
      <c r="A55" s="21"/>
      <c r="B55" s="38"/>
      <c r="C55" s="38"/>
      <c r="D55" s="38"/>
      <c r="E55" s="38"/>
      <c r="F55" s="38"/>
      <c r="G55" s="38"/>
      <c r="H55" s="38"/>
      <c r="I55" s="22"/>
      <c r="J55" s="38"/>
      <c r="K55" s="39"/>
    </row>
    <row r="56" ht="71.25" customHeight="1">
      <c r="A56" s="21"/>
      <c r="B56" s="38"/>
      <c r="C56" s="38"/>
      <c r="D56" s="38"/>
      <c r="E56" s="38"/>
      <c r="F56" s="38"/>
      <c r="G56" s="38"/>
      <c r="H56" s="38"/>
      <c r="I56" s="22"/>
      <c r="J56" s="38"/>
      <c r="K56" s="39"/>
    </row>
    <row r="57" ht="71.25" customHeight="1">
      <c r="A57" s="21"/>
      <c r="B57" s="41"/>
      <c r="C57" s="41"/>
      <c r="D57" s="41"/>
      <c r="E57" s="41"/>
      <c r="F57" s="41"/>
      <c r="G57" s="41"/>
      <c r="H57" s="41"/>
      <c r="I57" s="22"/>
      <c r="J57" s="41"/>
      <c r="K57" s="42"/>
    </row>
    <row r="58" ht="71.25" customHeight="1">
      <c r="A58" s="21"/>
      <c r="B58" s="38"/>
      <c r="C58" s="38"/>
      <c r="D58" s="38"/>
      <c r="E58" s="38"/>
      <c r="F58" s="38"/>
      <c r="G58" s="38"/>
      <c r="H58" s="38"/>
      <c r="I58" s="22"/>
      <c r="J58" s="38"/>
      <c r="K58" s="39"/>
    </row>
    <row r="59" ht="71.25" customHeight="1">
      <c r="A59" s="21"/>
      <c r="B59" s="38"/>
      <c r="C59" s="38"/>
      <c r="D59" s="38"/>
      <c r="E59" s="38"/>
      <c r="F59" s="38"/>
      <c r="G59" s="38"/>
      <c r="H59" s="38"/>
      <c r="I59" s="22"/>
      <c r="J59" s="38"/>
      <c r="K59" s="39"/>
    </row>
    <row r="60" ht="71.25" customHeight="1">
      <c r="A60" s="21"/>
      <c r="B60" s="38"/>
      <c r="C60" s="38"/>
      <c r="D60" s="38"/>
      <c r="E60" s="38"/>
      <c r="F60" s="38"/>
      <c r="G60" s="38"/>
      <c r="H60" s="38"/>
      <c r="I60" s="22"/>
      <c r="J60" s="38"/>
      <c r="K60" s="39"/>
    </row>
    <row r="61" ht="71.25" customHeight="1">
      <c r="A61" s="21"/>
      <c r="B61" s="38"/>
      <c r="C61" s="38"/>
      <c r="D61" s="38"/>
      <c r="E61" s="38"/>
      <c r="F61" s="38"/>
      <c r="G61" s="38"/>
      <c r="H61" s="38"/>
      <c r="I61" s="22"/>
      <c r="J61" s="38"/>
      <c r="K61" s="39"/>
    </row>
    <row r="62" ht="71.25" customHeight="1">
      <c r="A62" s="21"/>
      <c r="B62" s="38"/>
      <c r="C62" s="38"/>
      <c r="D62" s="38"/>
      <c r="E62" s="38"/>
      <c r="F62" s="38"/>
      <c r="G62" s="38"/>
      <c r="H62" s="38"/>
      <c r="I62" s="22"/>
      <c r="J62" s="38"/>
      <c r="K62" s="39"/>
    </row>
    <row r="63" ht="71.25" customHeight="1">
      <c r="A63" s="21"/>
      <c r="B63" s="38"/>
      <c r="C63" s="38"/>
      <c r="D63" s="38"/>
      <c r="E63" s="38"/>
      <c r="F63" s="38"/>
      <c r="G63" s="38"/>
      <c r="H63" s="38"/>
      <c r="I63" s="22"/>
      <c r="J63" s="38"/>
      <c r="K63" s="39"/>
    </row>
    <row r="64" ht="71.25" customHeight="1">
      <c r="A64" s="21"/>
      <c r="B64" s="38"/>
      <c r="C64" s="38"/>
      <c r="D64" s="38"/>
      <c r="E64" s="38"/>
      <c r="F64" s="38"/>
      <c r="G64" s="38"/>
      <c r="H64" s="38"/>
      <c r="I64" s="22"/>
      <c r="J64" s="38"/>
      <c r="K64" s="39"/>
    </row>
    <row r="65" ht="71.25" customHeight="1">
      <c r="A65" s="21"/>
      <c r="B65" s="38"/>
      <c r="C65" s="38"/>
      <c r="D65" s="38"/>
      <c r="E65" s="38"/>
      <c r="F65" s="38"/>
      <c r="G65" s="38"/>
      <c r="H65" s="38"/>
      <c r="I65" s="22"/>
      <c r="J65" s="38"/>
      <c r="K65" s="39"/>
    </row>
    <row r="66" ht="71.25" customHeight="1">
      <c r="A66" s="21"/>
      <c r="B66" s="38"/>
      <c r="C66" s="38"/>
      <c r="D66" s="38"/>
      <c r="E66" s="38"/>
      <c r="F66" s="38"/>
      <c r="G66" s="38"/>
      <c r="H66" s="38"/>
      <c r="I66" s="22"/>
      <c r="J66" s="38"/>
      <c r="K66" s="39"/>
    </row>
    <row r="67" ht="71.25" customHeight="1">
      <c r="A67" s="21"/>
      <c r="B67" s="38"/>
      <c r="C67" s="38"/>
      <c r="D67" s="38"/>
      <c r="E67" s="38"/>
      <c r="F67" s="38"/>
      <c r="G67" s="38"/>
      <c r="H67" s="38"/>
      <c r="I67" s="22"/>
      <c r="J67" s="38"/>
      <c r="K67" s="39"/>
    </row>
    <row r="68" ht="71.25" customHeight="1">
      <c r="A68" s="21"/>
      <c r="B68" s="41"/>
      <c r="C68" s="41"/>
      <c r="D68" s="41"/>
      <c r="E68" s="41"/>
      <c r="F68" s="41"/>
      <c r="G68" s="41"/>
      <c r="H68" s="41"/>
      <c r="I68" s="22"/>
      <c r="J68" s="41"/>
      <c r="K68" s="42"/>
    </row>
    <row r="69" ht="71.25" customHeight="1">
      <c r="A69" s="21"/>
      <c r="B69" s="38"/>
      <c r="C69" s="38"/>
      <c r="D69" s="38"/>
      <c r="E69" s="38"/>
      <c r="F69" s="38"/>
      <c r="G69" s="38"/>
      <c r="H69" s="38"/>
      <c r="I69" s="22"/>
      <c r="J69" s="38"/>
      <c r="K69" s="39"/>
    </row>
    <row r="70" ht="71.25" customHeight="1">
      <c r="A70" s="21"/>
      <c r="B70" s="38"/>
      <c r="C70" s="38"/>
      <c r="D70" s="38"/>
      <c r="E70" s="38"/>
      <c r="F70" s="38"/>
      <c r="G70" s="38"/>
      <c r="H70" s="38"/>
      <c r="I70" s="22"/>
      <c r="J70" s="38"/>
      <c r="K70" s="39"/>
    </row>
    <row r="71" ht="71.25" customHeight="1">
      <c r="A71" s="21"/>
      <c r="B71" s="38"/>
      <c r="C71" s="38"/>
      <c r="D71" s="38"/>
      <c r="E71" s="38"/>
      <c r="F71" s="38"/>
      <c r="G71" s="38"/>
      <c r="H71" s="38"/>
      <c r="I71" s="22"/>
      <c r="J71" s="38"/>
      <c r="K71" s="39"/>
    </row>
    <row r="72" ht="71.25" customHeight="1">
      <c r="A72" s="21"/>
      <c r="B72" s="38"/>
      <c r="C72" s="38"/>
      <c r="D72" s="38"/>
      <c r="E72" s="38"/>
      <c r="F72" s="38"/>
      <c r="G72" s="38"/>
      <c r="H72" s="38"/>
      <c r="I72" s="22"/>
      <c r="J72" s="38"/>
      <c r="K72" s="39"/>
    </row>
    <row r="73" ht="71.25" customHeight="1">
      <c r="A73" s="21"/>
      <c r="B73" s="38"/>
      <c r="C73" s="38"/>
      <c r="D73" s="38"/>
      <c r="E73" s="38"/>
      <c r="F73" s="38"/>
      <c r="G73" s="38"/>
      <c r="H73" s="38"/>
      <c r="I73" s="22"/>
      <c r="J73" s="38"/>
      <c r="K73" s="39"/>
    </row>
    <row r="74" ht="71.25" customHeight="1">
      <c r="A74" s="21"/>
      <c r="B74" s="38"/>
      <c r="C74" s="38"/>
      <c r="D74" s="38"/>
      <c r="E74" s="38"/>
      <c r="F74" s="38"/>
      <c r="G74" s="38"/>
      <c r="H74" s="38"/>
      <c r="I74" s="22"/>
      <c r="J74" s="38"/>
      <c r="K74" s="39"/>
    </row>
    <row r="75" ht="71.25" customHeight="1">
      <c r="A75" s="21"/>
      <c r="B75" s="38"/>
      <c r="C75" s="38"/>
      <c r="D75" s="38"/>
      <c r="E75" s="38"/>
      <c r="F75" s="38"/>
      <c r="G75" s="38"/>
      <c r="H75" s="38"/>
      <c r="I75" s="22"/>
      <c r="J75" s="38"/>
      <c r="K75" s="39"/>
    </row>
    <row r="76" ht="71.25" customHeight="1">
      <c r="A76" s="21"/>
      <c r="B76" s="38"/>
      <c r="C76" s="38"/>
      <c r="D76" s="38"/>
      <c r="E76" s="38"/>
      <c r="F76" s="38"/>
      <c r="G76" s="38"/>
      <c r="H76" s="38"/>
      <c r="I76" s="22"/>
      <c r="J76" s="38"/>
      <c r="K76" s="39"/>
    </row>
    <row r="77" ht="71.25" customHeight="1">
      <c r="A77" s="21"/>
      <c r="B77" s="38"/>
      <c r="C77" s="38"/>
      <c r="D77" s="38"/>
      <c r="E77" s="38"/>
      <c r="F77" s="38"/>
      <c r="G77" s="38"/>
      <c r="H77" s="38"/>
      <c r="I77" s="22"/>
      <c r="J77" s="38"/>
      <c r="K77" s="39"/>
    </row>
    <row r="78" ht="71.25" customHeight="1">
      <c r="A78" s="21"/>
      <c r="B78" s="38"/>
      <c r="C78" s="38"/>
      <c r="D78" s="38"/>
      <c r="E78" s="38"/>
      <c r="F78" s="38"/>
      <c r="G78" s="38"/>
      <c r="H78" s="38"/>
      <c r="I78" s="22"/>
      <c r="J78" s="38"/>
      <c r="K78" s="39"/>
    </row>
    <row r="79" ht="71.25" customHeight="1">
      <c r="A79" s="21"/>
      <c r="B79" s="41"/>
      <c r="C79" s="41"/>
      <c r="D79" s="41"/>
      <c r="E79" s="41"/>
      <c r="F79" s="41"/>
      <c r="G79" s="41"/>
      <c r="H79" s="41"/>
      <c r="I79" s="22"/>
      <c r="J79" s="41"/>
      <c r="K79" s="42"/>
    </row>
    <row r="80" ht="71.25" customHeight="1">
      <c r="A80" s="21"/>
      <c r="B80" s="38"/>
      <c r="C80" s="38"/>
      <c r="D80" s="38"/>
      <c r="E80" s="38"/>
      <c r="F80" s="38"/>
      <c r="G80" s="38"/>
      <c r="H80" s="38"/>
      <c r="I80" s="22"/>
      <c r="J80" s="38"/>
      <c r="K80" s="39"/>
    </row>
    <row r="81" ht="71.25" customHeight="1">
      <c r="A81" s="21"/>
      <c r="B81" s="38"/>
      <c r="C81" s="38"/>
      <c r="D81" s="38"/>
      <c r="E81" s="38"/>
      <c r="F81" s="38"/>
      <c r="G81" s="38"/>
      <c r="H81" s="38"/>
      <c r="I81" s="22"/>
      <c r="J81" s="38"/>
      <c r="K81" s="39"/>
    </row>
    <row r="82" ht="71.25" customHeight="1">
      <c r="A82" s="21"/>
      <c r="B82" s="38"/>
      <c r="C82" s="38"/>
      <c r="D82" s="38"/>
      <c r="E82" s="38"/>
      <c r="F82" s="38"/>
      <c r="G82" s="38"/>
      <c r="H82" s="38"/>
      <c r="I82" s="22"/>
      <c r="J82" s="38"/>
      <c r="K82" s="39"/>
    </row>
    <row r="83" ht="71.25" customHeight="1">
      <c r="A83" s="21"/>
      <c r="B83" s="38"/>
      <c r="C83" s="38"/>
      <c r="D83" s="38"/>
      <c r="E83" s="38"/>
      <c r="F83" s="38"/>
      <c r="G83" s="38"/>
      <c r="H83" s="38"/>
      <c r="I83" s="22"/>
      <c r="J83" s="38"/>
      <c r="K83" s="39"/>
    </row>
    <row r="84" ht="71.25" customHeight="1">
      <c r="A84" s="21"/>
      <c r="B84" s="38"/>
      <c r="C84" s="38"/>
      <c r="D84" s="38"/>
      <c r="E84" s="38"/>
      <c r="F84" s="38"/>
      <c r="G84" s="38"/>
      <c r="H84" s="38"/>
      <c r="I84" s="22"/>
      <c r="J84" s="38"/>
      <c r="K84" s="39"/>
    </row>
    <row r="85" ht="71.25" customHeight="1">
      <c r="A85" s="21"/>
      <c r="B85" s="38"/>
      <c r="C85" s="38"/>
      <c r="D85" s="38"/>
      <c r="E85" s="38"/>
      <c r="F85" s="38"/>
      <c r="G85" s="38"/>
      <c r="H85" s="38"/>
      <c r="I85" s="22"/>
      <c r="J85" s="38"/>
      <c r="K85" s="39"/>
    </row>
    <row r="86" ht="71.25" customHeight="1">
      <c r="A86" s="21"/>
      <c r="B86" s="38"/>
      <c r="C86" s="38"/>
      <c r="D86" s="38"/>
      <c r="E86" s="38"/>
      <c r="F86" s="38"/>
      <c r="G86" s="38"/>
      <c r="H86" s="38"/>
      <c r="I86" s="22"/>
      <c r="J86" s="38"/>
      <c r="K86" s="39"/>
    </row>
    <row r="87" ht="71.25" customHeight="1">
      <c r="A87" s="21"/>
      <c r="B87" s="38"/>
      <c r="C87" s="38"/>
      <c r="D87" s="38"/>
      <c r="E87" s="38"/>
      <c r="F87" s="38"/>
      <c r="G87" s="38"/>
      <c r="H87" s="38"/>
      <c r="I87" s="22"/>
      <c r="J87" s="38"/>
      <c r="K87" s="39"/>
    </row>
    <row r="88" ht="71.25" customHeight="1">
      <c r="A88" s="21"/>
      <c r="B88" s="38"/>
      <c r="C88" s="38"/>
      <c r="D88" s="38"/>
      <c r="E88" s="38"/>
      <c r="F88" s="38"/>
      <c r="G88" s="38"/>
      <c r="H88" s="38"/>
      <c r="I88" s="22"/>
      <c r="J88" s="38"/>
      <c r="K88" s="39"/>
    </row>
    <row r="89" ht="71.25" customHeight="1">
      <c r="A89" s="21"/>
      <c r="B89" s="38"/>
      <c r="C89" s="38"/>
      <c r="D89" s="38"/>
      <c r="E89" s="38"/>
      <c r="F89" s="38"/>
      <c r="G89" s="38"/>
      <c r="H89" s="38"/>
      <c r="I89" s="22"/>
      <c r="J89" s="38"/>
      <c r="K89" s="39"/>
    </row>
    <row r="90" ht="71.25" customHeight="1">
      <c r="A90" s="21"/>
      <c r="B90" s="41"/>
      <c r="C90" s="41"/>
      <c r="D90" s="41"/>
      <c r="E90" s="41"/>
      <c r="F90" s="41"/>
      <c r="G90" s="41"/>
      <c r="H90" s="41"/>
      <c r="I90" s="22"/>
      <c r="J90" s="41"/>
      <c r="K90" s="42"/>
    </row>
    <row r="91" ht="71.25" customHeight="1">
      <c r="A91" s="21"/>
      <c r="B91" s="38"/>
      <c r="C91" s="38"/>
      <c r="D91" s="38"/>
      <c r="E91" s="38"/>
      <c r="F91" s="38"/>
      <c r="G91" s="38"/>
      <c r="H91" s="38"/>
      <c r="I91" s="22"/>
      <c r="J91" s="38"/>
      <c r="K91" s="39"/>
    </row>
    <row r="92" ht="71.25" customHeight="1">
      <c r="A92" s="21"/>
      <c r="B92" s="38"/>
      <c r="C92" s="38"/>
      <c r="D92" s="38"/>
      <c r="E92" s="38"/>
      <c r="F92" s="38"/>
      <c r="G92" s="38"/>
      <c r="H92" s="38"/>
      <c r="I92" s="22"/>
      <c r="J92" s="38"/>
      <c r="K92" s="39"/>
    </row>
    <row r="93" ht="71.25" customHeight="1">
      <c r="A93" s="21"/>
      <c r="B93" s="38"/>
      <c r="C93" s="38"/>
      <c r="D93" s="38"/>
      <c r="E93" s="38"/>
      <c r="F93" s="38"/>
      <c r="G93" s="38"/>
      <c r="H93" s="38"/>
      <c r="I93" s="22"/>
      <c r="J93" s="38"/>
      <c r="K93" s="39"/>
    </row>
    <row r="94" ht="71.25" customHeight="1">
      <c r="A94" s="21"/>
      <c r="B94" s="38"/>
      <c r="C94" s="38"/>
      <c r="D94" s="38"/>
      <c r="E94" s="38"/>
      <c r="F94" s="38"/>
      <c r="G94" s="38"/>
      <c r="H94" s="38"/>
      <c r="I94" s="22"/>
      <c r="J94" s="38"/>
      <c r="K94" s="39"/>
    </row>
    <row r="95" ht="71.25" customHeight="1">
      <c r="A95" s="21"/>
      <c r="B95" s="38"/>
      <c r="C95" s="38"/>
      <c r="D95" s="38"/>
      <c r="E95" s="38"/>
      <c r="F95" s="38"/>
      <c r="G95" s="38"/>
      <c r="H95" s="38"/>
      <c r="I95" s="22"/>
      <c r="J95" s="38"/>
      <c r="K95" s="39"/>
    </row>
    <row r="96" ht="71.25" customHeight="1">
      <c r="A96" s="21"/>
      <c r="B96" s="38"/>
      <c r="C96" s="38"/>
      <c r="D96" s="38"/>
      <c r="E96" s="38"/>
      <c r="F96" s="38"/>
      <c r="G96" s="38"/>
      <c r="H96" s="38"/>
      <c r="I96" s="22"/>
      <c r="J96" s="38"/>
      <c r="K96" s="39"/>
    </row>
    <row r="97" ht="71.25" customHeight="1">
      <c r="A97" s="21"/>
      <c r="B97" s="38"/>
      <c r="C97" s="38"/>
      <c r="D97" s="38"/>
      <c r="E97" s="38"/>
      <c r="F97" s="38"/>
      <c r="G97" s="38"/>
      <c r="H97" s="38"/>
      <c r="I97" s="22"/>
      <c r="J97" s="38"/>
      <c r="K97" s="39"/>
    </row>
    <row r="98" ht="71.25" customHeight="1">
      <c r="A98" s="21"/>
      <c r="B98" s="38"/>
      <c r="C98" s="38"/>
      <c r="D98" s="38"/>
      <c r="E98" s="38"/>
      <c r="F98" s="38"/>
      <c r="G98" s="38"/>
      <c r="H98" s="38"/>
      <c r="I98" s="22"/>
      <c r="J98" s="38"/>
      <c r="K98" s="39"/>
    </row>
    <row r="99" ht="71.25" customHeight="1">
      <c r="A99" s="21"/>
      <c r="B99" s="38"/>
      <c r="C99" s="38"/>
      <c r="D99" s="38"/>
      <c r="E99" s="38"/>
      <c r="F99" s="38"/>
      <c r="G99" s="38"/>
      <c r="H99" s="38"/>
      <c r="I99" s="22"/>
      <c r="J99" s="38"/>
      <c r="K99" s="39"/>
    </row>
    <row r="100" ht="71.25" customHeight="1">
      <c r="A100" s="21"/>
      <c r="B100" s="38"/>
      <c r="C100" s="38"/>
      <c r="D100" s="38"/>
      <c r="E100" s="38"/>
      <c r="F100" s="38"/>
      <c r="G100" s="38"/>
      <c r="H100" s="38"/>
      <c r="I100" s="22"/>
      <c r="J100" s="38"/>
      <c r="K100" s="39"/>
    </row>
    <row r="101" ht="71.25" customHeight="1">
      <c r="A101" s="21"/>
      <c r="B101" s="38"/>
      <c r="C101" s="38"/>
      <c r="D101" s="38"/>
      <c r="E101" s="38"/>
      <c r="F101" s="38"/>
      <c r="G101" s="38"/>
      <c r="H101" s="38"/>
      <c r="I101" s="22"/>
      <c r="J101" s="38"/>
      <c r="K101" s="39"/>
    </row>
    <row r="102" ht="71.25" customHeight="1"/>
    <row r="103" ht="71.25" customHeight="1"/>
    <row r="104" ht="71.25" customHeight="1"/>
    <row r="105" ht="71.25" customHeight="1"/>
    <row r="106" ht="71.25" customHeight="1"/>
    <row r="107" ht="71.25" customHeight="1"/>
    <row r="108" ht="71.25" customHeight="1"/>
    <row r="109" ht="71.25" customHeight="1"/>
    <row r="110" ht="71.25" customHeight="1"/>
    <row r="111" ht="71.25" customHeight="1"/>
    <row r="112" ht="71.25" customHeight="1"/>
    <row r="113" ht="71.25" customHeight="1"/>
    <row r="114" ht="71.25" customHeight="1"/>
    <row r="115" ht="71.25" customHeight="1"/>
    <row r="116" ht="71.25" customHeight="1"/>
    <row r="117" ht="71.25" customHeight="1"/>
    <row r="118" ht="71.25" customHeight="1"/>
    <row r="119" ht="71.25" customHeight="1"/>
    <row r="120" ht="71.25" customHeight="1"/>
    <row r="121" ht="71.25" customHeight="1"/>
    <row r="122" ht="71.25" customHeight="1"/>
    <row r="123" ht="71.25" customHeight="1"/>
    <row r="124" ht="71.25" customHeight="1"/>
    <row r="125" ht="71.25" customHeight="1"/>
    <row r="126" ht="71.25" customHeight="1"/>
    <row r="127" ht="71.25" customHeight="1"/>
    <row r="128" ht="71.25" customHeight="1"/>
    <row r="129" ht="71.25" customHeight="1"/>
    <row r="130" ht="71.25" customHeight="1"/>
    <row r="131" ht="71.25" customHeight="1"/>
    <row r="132" ht="71.25" customHeight="1"/>
    <row r="133" ht="71.25" customHeight="1"/>
    <row r="134" ht="71.25" customHeight="1"/>
    <row r="135" ht="71.25" customHeight="1"/>
    <row r="136" ht="71.25" customHeight="1"/>
    <row r="137" ht="71.25" customHeight="1"/>
    <row r="138" ht="71.25" customHeight="1"/>
    <row r="139" ht="71.25" customHeight="1"/>
    <row r="140" ht="71.25" customHeight="1"/>
    <row r="141" ht="71.25" customHeight="1"/>
    <row r="142" ht="71.25" customHeight="1"/>
    <row r="143" ht="71.25" customHeight="1"/>
    <row r="144" ht="71.25" customHeight="1"/>
    <row r="145" ht="71.25" customHeight="1"/>
    <row r="146" ht="71.25" customHeight="1"/>
    <row r="147" ht="71.25" customHeight="1"/>
    <row r="148" ht="71.25" customHeight="1"/>
    <row r="149" ht="71.25" customHeight="1"/>
    <row r="150" ht="71.25" customHeight="1"/>
    <row r="151" ht="71.25" customHeight="1"/>
    <row r="152" ht="71.25" customHeight="1"/>
    <row r="153" ht="71.25" customHeight="1"/>
    <row r="154" ht="71.25" customHeight="1"/>
    <row r="155" ht="71.25" customHeight="1"/>
    <row r="156" ht="71.25" customHeight="1"/>
    <row r="157" ht="71.25" customHeight="1"/>
    <row r="158" ht="71.25" customHeight="1"/>
    <row r="159" ht="71.25" customHeight="1"/>
    <row r="160" ht="71.25" customHeight="1"/>
    <row r="161" ht="71.25" customHeight="1"/>
    <row r="162" ht="71.25" customHeight="1"/>
    <row r="163" ht="71.25" customHeight="1"/>
    <row r="164" ht="71.25" customHeight="1"/>
    <row r="165" ht="71.25" customHeight="1"/>
    <row r="166" ht="71.25" customHeight="1"/>
    <row r="167" ht="71.25" customHeight="1"/>
    <row r="168" ht="71.25" customHeight="1"/>
    <row r="169" ht="71.25" customHeight="1"/>
    <row r="170" ht="71.25" customHeight="1"/>
    <row r="171" ht="71.25" customHeight="1"/>
    <row r="172" ht="71.25" customHeight="1"/>
    <row r="173" ht="71.25" customHeight="1"/>
    <row r="174" ht="71.25" customHeight="1"/>
    <row r="175" ht="71.25" customHeight="1"/>
    <row r="176" ht="71.25" customHeight="1"/>
    <row r="177" ht="71.25" customHeight="1"/>
    <row r="178" ht="71.25" customHeight="1"/>
    <row r="179" ht="71.25" customHeight="1"/>
    <row r="180" ht="71.25" customHeight="1"/>
    <row r="181" ht="71.25" customHeight="1"/>
    <row r="182" ht="71.25" customHeight="1"/>
    <row r="183" ht="71.25" customHeight="1"/>
    <row r="184" ht="71.25" customHeight="1"/>
    <row r="185" ht="71.25" customHeight="1"/>
    <row r="186" ht="71.25" customHeight="1"/>
    <row r="187" ht="71.25" customHeight="1"/>
    <row r="188" ht="71.25" customHeight="1"/>
    <row r="189" ht="71.25" customHeight="1"/>
    <row r="190" ht="71.25" customHeight="1"/>
    <row r="191" ht="71.25" customHeight="1"/>
    <row r="192" ht="71.25" customHeight="1"/>
    <row r="193" ht="71.25" customHeight="1"/>
    <row r="194" ht="71.25" customHeight="1"/>
    <row r="195" ht="71.25" customHeight="1"/>
    <row r="196" ht="71.25" customHeight="1"/>
    <row r="197" ht="71.25" customHeight="1"/>
    <row r="198" ht="71.25" customHeight="1"/>
    <row r="199" ht="71.25" customHeight="1"/>
    <row r="200" ht="71.25" customHeight="1"/>
    <row r="201" ht="71.25" customHeight="1"/>
    <row r="202" ht="71.25" customHeight="1"/>
    <row r="203" ht="71.25" customHeight="1"/>
    <row r="204" ht="71.25" customHeight="1"/>
    <row r="205" ht="71.25" customHeight="1"/>
    <row r="206" ht="71.25" customHeight="1"/>
    <row r="207" ht="71.25" customHeight="1"/>
    <row r="208" ht="71.25" customHeight="1"/>
    <row r="209" ht="71.25" customHeight="1"/>
    <row r="210" ht="71.25" customHeight="1"/>
    <row r="211" ht="71.25" customHeight="1"/>
    <row r="212" ht="71.25" customHeight="1"/>
    <row r="213" ht="71.25" customHeight="1"/>
    <row r="214" ht="71.25" customHeight="1"/>
    <row r="215" ht="71.25" customHeight="1"/>
    <row r="216" ht="71.25" customHeight="1"/>
    <row r="217" ht="71.25" customHeight="1"/>
    <row r="218" ht="71.25" customHeight="1"/>
    <row r="219" ht="71.25" customHeight="1"/>
    <row r="220" ht="71.25" customHeight="1"/>
    <row r="221" ht="71.25" customHeight="1"/>
    <row r="222" ht="71.25" customHeight="1"/>
    <row r="223" ht="71.25" customHeight="1"/>
    <row r="224" ht="71.25" customHeight="1"/>
    <row r="225" ht="71.25" customHeight="1"/>
    <row r="226" ht="71.25" customHeight="1"/>
    <row r="227" ht="71.25" customHeight="1"/>
    <row r="228" ht="71.25" customHeight="1"/>
    <row r="229" ht="71.25" customHeight="1"/>
    <row r="230" ht="71.25" customHeight="1"/>
    <row r="231" ht="71.25" customHeight="1"/>
    <row r="232" ht="71.25" customHeight="1"/>
    <row r="233" ht="71.25" customHeight="1"/>
    <row r="234" ht="71.25" customHeight="1"/>
    <row r="235" ht="71.25" customHeight="1"/>
    <row r="236" ht="71.25" customHeight="1"/>
    <row r="237" ht="71.25" customHeight="1"/>
    <row r="238" ht="71.25" customHeight="1"/>
    <row r="239" ht="71.25" customHeight="1"/>
    <row r="240" ht="71.25" customHeight="1"/>
    <row r="241" ht="71.25" customHeight="1"/>
    <row r="242" ht="71.25" customHeight="1"/>
    <row r="243" ht="71.25" customHeight="1"/>
    <row r="244" ht="71.25" customHeight="1"/>
    <row r="245" ht="71.25" customHeight="1"/>
    <row r="246" ht="71.25" customHeight="1"/>
    <row r="247" ht="71.25" customHeight="1"/>
    <row r="248" ht="71.25" customHeight="1"/>
    <row r="249" ht="71.25" customHeight="1"/>
    <row r="250" ht="71.25" customHeight="1"/>
    <row r="251" ht="71.25" customHeight="1"/>
    <row r="252" ht="71.25" customHeight="1"/>
    <row r="253" ht="71.25" customHeight="1"/>
    <row r="254" ht="71.25" customHeight="1"/>
    <row r="255" ht="71.25" customHeight="1"/>
    <row r="256" ht="71.25" customHeight="1"/>
    <row r="257" ht="71.25" customHeight="1"/>
    <row r="258" ht="71.25" customHeight="1"/>
    <row r="259" ht="71.25" customHeight="1"/>
    <row r="260" ht="71.25" customHeight="1"/>
    <row r="261" ht="71.25" customHeight="1"/>
    <row r="262" ht="71.25" customHeight="1"/>
    <row r="263" ht="71.25" customHeight="1"/>
    <row r="264" ht="71.25" customHeight="1"/>
    <row r="265" ht="71.25" customHeight="1"/>
    <row r="266" ht="71.25" customHeight="1"/>
    <row r="267" ht="71.25" customHeight="1"/>
    <row r="268" ht="71.25" customHeight="1"/>
    <row r="269" ht="71.25" customHeight="1"/>
    <row r="270" ht="71.25" customHeight="1"/>
    <row r="271" ht="71.25" customHeight="1"/>
    <row r="272" ht="71.25" customHeight="1"/>
    <row r="273" ht="71.25" customHeight="1"/>
    <row r="274" ht="71.25" customHeight="1"/>
    <row r="275" ht="71.25" customHeight="1"/>
    <row r="276" ht="71.25" customHeight="1"/>
    <row r="277" ht="71.25" customHeight="1"/>
    <row r="278" ht="71.25" customHeight="1"/>
    <row r="279" ht="71.25" customHeight="1"/>
    <row r="280" ht="71.25" customHeight="1"/>
    <row r="281" ht="71.25" customHeight="1"/>
    <row r="282" ht="71.25" customHeight="1"/>
    <row r="283" ht="71.25" customHeight="1"/>
    <row r="284" ht="71.25" customHeight="1"/>
    <row r="285" ht="71.25" customHeight="1"/>
    <row r="286" ht="71.25" customHeight="1"/>
    <row r="287" ht="71.25" customHeight="1"/>
    <row r="288" ht="71.25" customHeight="1"/>
    <row r="289" ht="71.25" customHeight="1"/>
    <row r="290" ht="71.25" customHeight="1"/>
    <row r="291" ht="71.25" customHeight="1"/>
    <row r="292" ht="71.25" customHeight="1"/>
    <row r="293" ht="71.25" customHeight="1"/>
    <row r="294" ht="71.25" customHeight="1"/>
    <row r="295" ht="71.25" customHeight="1"/>
    <row r="296" ht="71.25" customHeight="1"/>
    <row r="297" ht="71.25" customHeight="1"/>
    <row r="298" ht="71.25" customHeight="1"/>
    <row r="299" ht="71.25" customHeight="1"/>
    <row r="300" ht="71.25" customHeight="1"/>
    <row r="301" ht="71.25" customHeight="1"/>
    <row r="302" ht="71.25" customHeight="1"/>
    <row r="303" ht="71.25" customHeight="1"/>
    <row r="304" ht="71.25" customHeight="1"/>
    <row r="305" ht="71.25" customHeight="1"/>
    <row r="306" ht="71.25" customHeight="1"/>
    <row r="307" ht="71.25" customHeight="1"/>
    <row r="308" ht="71.25" customHeight="1"/>
    <row r="309" ht="71.25" customHeight="1"/>
    <row r="310" ht="71.25" customHeight="1"/>
    <row r="311" ht="71.25" customHeight="1"/>
    <row r="312" ht="71.25" customHeight="1"/>
    <row r="313" ht="71.25" customHeight="1"/>
    <row r="314" ht="71.25" customHeight="1"/>
    <row r="315" ht="71.25" customHeight="1"/>
    <row r="316" ht="71.25" customHeight="1"/>
    <row r="317" ht="71.25" customHeight="1"/>
    <row r="318" ht="71.25" customHeight="1"/>
    <row r="319" ht="71.25" customHeight="1"/>
    <row r="320" ht="71.25" customHeight="1"/>
    <row r="321" ht="71.25" customHeight="1"/>
    <row r="322" ht="71.25" customHeight="1"/>
    <row r="323" ht="71.25" customHeight="1"/>
    <row r="324" ht="71.25" customHeight="1"/>
    <row r="325" ht="71.25" customHeight="1"/>
    <row r="326" ht="71.25" customHeight="1"/>
    <row r="327" ht="71.25" customHeight="1"/>
    <row r="328" ht="71.25" customHeight="1"/>
    <row r="329" ht="71.25" customHeight="1"/>
    <row r="330" ht="71.25" customHeight="1"/>
    <row r="331" ht="71.25" customHeight="1"/>
    <row r="332" ht="71.25" customHeight="1"/>
    <row r="333" ht="71.25" customHeight="1"/>
    <row r="334" ht="71.25" customHeight="1"/>
    <row r="335" ht="71.25" customHeight="1"/>
    <row r="336" ht="71.25" customHeight="1"/>
    <row r="337" ht="71.25" customHeight="1"/>
    <row r="338" ht="71.25" customHeight="1"/>
    <row r="339" ht="71.25" customHeight="1"/>
    <row r="340" ht="71.25" customHeight="1"/>
    <row r="341" ht="71.25" customHeight="1"/>
    <row r="342" ht="71.25" customHeight="1"/>
    <row r="343" ht="71.25" customHeight="1"/>
    <row r="344" ht="71.25" customHeight="1"/>
    <row r="345" ht="71.25" customHeight="1"/>
    <row r="346" ht="71.25" customHeight="1"/>
    <row r="347" ht="71.25" customHeight="1"/>
    <row r="348" ht="71.25" customHeight="1"/>
    <row r="349" ht="71.25" customHeight="1"/>
    <row r="350" ht="71.25" customHeight="1"/>
    <row r="351" ht="71.25" customHeight="1"/>
    <row r="352" ht="71.25" customHeight="1"/>
    <row r="353" ht="71.25" customHeight="1"/>
    <row r="354" ht="71.25" customHeight="1"/>
    <row r="355" ht="71.25" customHeight="1"/>
    <row r="356" ht="71.25" customHeight="1"/>
    <row r="357" ht="71.25" customHeight="1"/>
    <row r="358" ht="71.25" customHeight="1"/>
    <row r="359" ht="71.25" customHeight="1"/>
    <row r="360" ht="71.25" customHeight="1"/>
    <row r="361" ht="71.25" customHeight="1"/>
    <row r="362" ht="71.25" customHeight="1"/>
    <row r="363" ht="71.25" customHeight="1"/>
    <row r="364" ht="71.25" customHeight="1"/>
    <row r="365" ht="71.25" customHeight="1"/>
    <row r="366" ht="71.25" customHeight="1"/>
    <row r="367" ht="71.25" customHeight="1"/>
    <row r="368" ht="71.25" customHeight="1"/>
    <row r="369" ht="71.25" customHeight="1"/>
    <row r="370" ht="71.25" customHeight="1"/>
    <row r="371" ht="71.25" customHeight="1"/>
    <row r="372" ht="71.25" customHeight="1"/>
    <row r="373" ht="71.25" customHeight="1"/>
    <row r="374" ht="71.25" customHeight="1"/>
    <row r="375" ht="71.25" customHeight="1"/>
    <row r="376" ht="71.25" customHeight="1"/>
    <row r="377" ht="71.25" customHeight="1"/>
    <row r="378" ht="71.25" customHeight="1"/>
    <row r="379" ht="71.25" customHeight="1"/>
    <row r="380" ht="71.25" customHeight="1"/>
    <row r="381" ht="71.25" customHeight="1"/>
    <row r="382" ht="71.25" customHeight="1"/>
    <row r="383" ht="71.25" customHeight="1"/>
    <row r="384" ht="71.25" customHeight="1"/>
    <row r="385" ht="71.25" customHeight="1"/>
    <row r="386" ht="71.25" customHeight="1"/>
    <row r="387" ht="71.25" customHeight="1"/>
    <row r="388" ht="71.25" customHeight="1"/>
    <row r="389" ht="71.25" customHeight="1"/>
    <row r="390" ht="71.25" customHeight="1"/>
    <row r="391" ht="71.25" customHeight="1"/>
    <row r="392" ht="71.25" customHeight="1"/>
    <row r="393" ht="71.25" customHeight="1"/>
    <row r="394" ht="71.25" customHeight="1"/>
    <row r="395" ht="71.25" customHeight="1"/>
    <row r="396" ht="71.25" customHeight="1"/>
    <row r="397" ht="71.25" customHeight="1"/>
    <row r="398" ht="71.25" customHeight="1"/>
    <row r="399" ht="71.25" customHeight="1"/>
    <row r="400" ht="71.25" customHeight="1"/>
    <row r="401" ht="71.25" customHeight="1"/>
    <row r="402" ht="71.25" customHeight="1"/>
    <row r="403" ht="71.25" customHeight="1"/>
    <row r="404" ht="71.25" customHeight="1"/>
    <row r="405" ht="71.25" customHeight="1"/>
    <row r="406" ht="71.25" customHeight="1"/>
    <row r="407" ht="71.25" customHeight="1"/>
    <row r="408" ht="71.25" customHeight="1"/>
    <row r="409" ht="71.25" customHeight="1"/>
    <row r="410" ht="71.25" customHeight="1"/>
    <row r="411" ht="71.25" customHeight="1"/>
    <row r="412" ht="71.25" customHeight="1"/>
    <row r="413" ht="71.25" customHeight="1"/>
    <row r="414" ht="71.25" customHeight="1"/>
    <row r="415" ht="71.25" customHeight="1"/>
    <row r="416" ht="71.25" customHeight="1"/>
    <row r="417" ht="71.25" customHeight="1"/>
    <row r="418" ht="71.25" customHeight="1"/>
    <row r="419" ht="71.25" customHeight="1"/>
    <row r="420" ht="71.25" customHeight="1"/>
    <row r="421" ht="71.25" customHeight="1"/>
    <row r="422" ht="71.25" customHeight="1"/>
    <row r="423" ht="71.25" customHeight="1"/>
    <row r="424" ht="71.25" customHeight="1"/>
    <row r="425" ht="71.25" customHeight="1"/>
    <row r="426" ht="71.25" customHeight="1"/>
    <row r="427" ht="71.25" customHeight="1"/>
    <row r="428" ht="71.25" customHeight="1"/>
    <row r="429" ht="71.25" customHeight="1"/>
    <row r="430" ht="71.25" customHeight="1"/>
    <row r="431" ht="71.25" customHeight="1"/>
    <row r="432" ht="71.25" customHeight="1"/>
    <row r="433" ht="71.25" customHeight="1"/>
    <row r="434" ht="71.25" customHeight="1"/>
    <row r="435" ht="71.25" customHeight="1"/>
    <row r="436" ht="71.25" customHeight="1"/>
    <row r="437" ht="71.25" customHeight="1"/>
    <row r="438" ht="71.25" customHeight="1"/>
    <row r="439" ht="71.25" customHeight="1"/>
    <row r="440" ht="71.25" customHeight="1"/>
    <row r="441" ht="71.25" customHeight="1"/>
    <row r="442" ht="71.25" customHeight="1"/>
    <row r="443" ht="71.25" customHeight="1"/>
    <row r="444" ht="71.25" customHeight="1"/>
    <row r="445" ht="71.25" customHeight="1"/>
    <row r="446" ht="71.25" customHeight="1"/>
    <row r="447" ht="71.25" customHeight="1"/>
    <row r="448" ht="71.25" customHeight="1"/>
    <row r="449" ht="71.25" customHeight="1"/>
    <row r="450" ht="71.25" customHeight="1"/>
    <row r="451" ht="71.25" customHeight="1"/>
    <row r="452" ht="71.25" customHeight="1"/>
    <row r="453" ht="71.25" customHeight="1"/>
    <row r="454" ht="71.25" customHeight="1"/>
    <row r="455" ht="71.25" customHeight="1"/>
    <row r="456" ht="71.25" customHeight="1"/>
    <row r="457" ht="71.25" customHeight="1"/>
    <row r="458" ht="71.25" customHeight="1"/>
    <row r="459" ht="71.25" customHeight="1"/>
    <row r="460" ht="71.25" customHeight="1"/>
    <row r="461" ht="71.25" customHeight="1"/>
    <row r="462" ht="71.25" customHeight="1"/>
    <row r="463" ht="71.25" customHeight="1"/>
    <row r="464" ht="71.25" customHeight="1"/>
    <row r="465" ht="71.25" customHeight="1"/>
    <row r="466" ht="71.25" customHeight="1"/>
    <row r="467" ht="71.25" customHeight="1"/>
    <row r="468" ht="71.25" customHeight="1"/>
    <row r="469" ht="71.25" customHeight="1"/>
    <row r="470" ht="71.25" customHeight="1"/>
    <row r="471" ht="71.25" customHeight="1"/>
    <row r="472" ht="71.25" customHeight="1"/>
    <row r="473" ht="71.25" customHeight="1"/>
    <row r="474" ht="71.25" customHeight="1"/>
    <row r="475" ht="71.25" customHeight="1"/>
    <row r="476" ht="71.25" customHeight="1"/>
    <row r="477" ht="71.25" customHeight="1"/>
    <row r="478" ht="71.25" customHeight="1"/>
    <row r="479" ht="71.25" customHeight="1"/>
    <row r="480" ht="71.25" customHeight="1"/>
    <row r="481" ht="71.25" customHeight="1"/>
    <row r="482" ht="71.25" customHeight="1"/>
    <row r="483" ht="71.25" customHeight="1"/>
    <row r="484" ht="71.25" customHeight="1"/>
    <row r="485" ht="71.25" customHeight="1"/>
    <row r="486" ht="71.25" customHeight="1"/>
    <row r="487" ht="71.25" customHeight="1"/>
    <row r="488" ht="71.25" customHeight="1"/>
    <row r="489" ht="71.25" customHeight="1"/>
    <row r="490" ht="71.25" customHeight="1"/>
    <row r="491" ht="71.25" customHeight="1"/>
    <row r="492" ht="71.25" customHeight="1"/>
    <row r="493" ht="71.25" customHeight="1"/>
    <row r="494" ht="71.25" customHeight="1"/>
    <row r="495" ht="71.25" customHeight="1"/>
    <row r="496" ht="71.25" customHeight="1"/>
    <row r="497" ht="71.25" customHeight="1"/>
    <row r="498" ht="71.25" customHeight="1"/>
    <row r="499" ht="71.25" customHeight="1"/>
    <row r="500" ht="71.25" customHeight="1"/>
    <row r="501" ht="71.25" customHeight="1"/>
    <row r="502" ht="71.25" customHeight="1"/>
    <row r="503" ht="71.25" customHeight="1"/>
    <row r="504" ht="71.25" customHeight="1"/>
    <row r="505" ht="71.25" customHeight="1"/>
    <row r="506" ht="71.25" customHeight="1"/>
    <row r="507" ht="71.25" customHeight="1"/>
    <row r="508" ht="71.25" customHeight="1"/>
    <row r="509" ht="71.25" customHeight="1"/>
    <row r="510" ht="71.25" customHeight="1"/>
    <row r="511" ht="71.25" customHeight="1"/>
    <row r="512" ht="71.25" customHeight="1"/>
    <row r="513" ht="71.25" customHeight="1"/>
    <row r="514" ht="71.25" customHeight="1"/>
    <row r="515" ht="71.25" customHeight="1"/>
    <row r="516" ht="71.25" customHeight="1"/>
    <row r="517" ht="71.25" customHeight="1"/>
    <row r="518" ht="71.25" customHeight="1"/>
    <row r="519" ht="71.25" customHeight="1"/>
    <row r="520" ht="71.25" customHeight="1"/>
    <row r="521" ht="71.25" customHeight="1"/>
    <row r="522" ht="71.25" customHeight="1"/>
    <row r="523" ht="71.25" customHeight="1"/>
    <row r="524" ht="71.25" customHeight="1"/>
    <row r="525" ht="71.25" customHeight="1"/>
    <row r="526" ht="71.25" customHeight="1"/>
    <row r="527" ht="71.25" customHeight="1"/>
    <row r="528" ht="71.25" customHeight="1"/>
    <row r="529" ht="71.25" customHeight="1"/>
    <row r="530" ht="71.25" customHeight="1"/>
    <row r="531" ht="71.25" customHeight="1"/>
    <row r="532" ht="71.25" customHeight="1"/>
    <row r="533" ht="71.25" customHeight="1"/>
    <row r="534" ht="71.25" customHeight="1"/>
    <row r="535" ht="71.25" customHeight="1"/>
    <row r="536" ht="71.25" customHeight="1"/>
    <row r="537" ht="71.25" customHeight="1"/>
    <row r="538" ht="71.25" customHeight="1"/>
    <row r="539" ht="71.25" customHeight="1"/>
    <row r="540" ht="71.25" customHeight="1"/>
    <row r="541" ht="71.25" customHeight="1"/>
    <row r="542" ht="71.25" customHeight="1"/>
    <row r="543" ht="71.25" customHeight="1"/>
    <row r="544" ht="71.25" customHeight="1"/>
    <row r="545" ht="71.25" customHeight="1"/>
    <row r="546" ht="71.25" customHeight="1"/>
    <row r="547" ht="71.25" customHeight="1"/>
    <row r="548" ht="71.25" customHeight="1"/>
    <row r="549" ht="71.25" customHeight="1"/>
    <row r="550" ht="71.25" customHeight="1"/>
    <row r="551" ht="71.25" customHeight="1"/>
    <row r="552" ht="71.25" customHeight="1"/>
    <row r="553" ht="71.25" customHeight="1"/>
    <row r="554" ht="71.25" customHeight="1"/>
    <row r="555" ht="71.25" customHeight="1"/>
    <row r="556" ht="71.25" customHeight="1"/>
    <row r="557" ht="71.25" customHeight="1"/>
    <row r="558" ht="71.25" customHeight="1"/>
    <row r="559" ht="71.25" customHeight="1"/>
    <row r="560" ht="71.25" customHeight="1"/>
    <row r="561" ht="71.25" customHeight="1"/>
    <row r="562" ht="71.25" customHeight="1"/>
    <row r="563" ht="71.25" customHeight="1"/>
    <row r="564" ht="71.25" customHeight="1"/>
    <row r="565" ht="71.25" customHeight="1"/>
    <row r="566" ht="71.25" customHeight="1"/>
    <row r="567" ht="71.25" customHeight="1"/>
    <row r="568" ht="71.25" customHeight="1"/>
    <row r="569" ht="71.25" customHeight="1"/>
    <row r="570" ht="71.25" customHeight="1"/>
    <row r="571" ht="71.25" customHeight="1"/>
    <row r="572" ht="71.25" customHeight="1"/>
    <row r="573" ht="71.25" customHeight="1"/>
    <row r="574" ht="71.25" customHeight="1"/>
    <row r="575" ht="71.25" customHeight="1"/>
    <row r="576" ht="71.25" customHeight="1"/>
    <row r="577" ht="71.25" customHeight="1"/>
    <row r="578" ht="71.25" customHeight="1"/>
    <row r="579" ht="71.25" customHeight="1"/>
    <row r="580" ht="71.25" customHeight="1"/>
    <row r="581" ht="71.25" customHeight="1"/>
    <row r="582" ht="71.25" customHeight="1"/>
    <row r="583" ht="71.25" customHeight="1"/>
    <row r="584" ht="71.25" customHeight="1"/>
    <row r="585" ht="71.25" customHeight="1"/>
    <row r="586" ht="71.25" customHeight="1"/>
    <row r="587" ht="71.25" customHeight="1"/>
    <row r="588" ht="71.25" customHeight="1"/>
    <row r="589" ht="71.25" customHeight="1"/>
    <row r="590" ht="71.25" customHeight="1"/>
    <row r="591" ht="71.25" customHeight="1"/>
    <row r="592" ht="71.25" customHeight="1"/>
    <row r="593" ht="71.25" customHeight="1"/>
    <row r="594" ht="71.25" customHeight="1"/>
    <row r="595" ht="71.25" customHeight="1"/>
    <row r="596" ht="71.25" customHeight="1"/>
    <row r="597" ht="71.25" customHeight="1"/>
    <row r="598" ht="71.25" customHeight="1"/>
    <row r="599" ht="71.25" customHeight="1"/>
    <row r="600" ht="71.25" customHeight="1"/>
    <row r="601" ht="71.25" customHeight="1"/>
    <row r="602" ht="71.25" customHeight="1"/>
    <row r="603" ht="71.25" customHeight="1"/>
    <row r="604" ht="71.25" customHeight="1"/>
    <row r="605" ht="71.25" customHeight="1"/>
    <row r="606" ht="71.25" customHeight="1"/>
    <row r="607" ht="71.25" customHeight="1"/>
    <row r="608" ht="71.25" customHeight="1"/>
    <row r="609" ht="71.25" customHeight="1"/>
    <row r="610" ht="71.25" customHeight="1"/>
    <row r="611" ht="71.25" customHeight="1"/>
    <row r="612" ht="71.25" customHeight="1"/>
    <row r="613" ht="71.25" customHeight="1"/>
    <row r="614" ht="71.25" customHeight="1"/>
    <row r="615" ht="71.25" customHeight="1"/>
    <row r="616" ht="71.25" customHeight="1"/>
    <row r="617" ht="71.25" customHeight="1"/>
    <row r="618" ht="71.25" customHeight="1"/>
    <row r="619" ht="71.25" customHeight="1"/>
    <row r="620" ht="71.25" customHeight="1"/>
    <row r="621" ht="71.25" customHeight="1"/>
    <row r="622" ht="71.25" customHeight="1"/>
    <row r="623" ht="71.25" customHeight="1"/>
    <row r="624" ht="71.25" customHeight="1"/>
    <row r="625" ht="71.25" customHeight="1"/>
    <row r="626" ht="71.25" customHeight="1"/>
    <row r="627" ht="71.25" customHeight="1"/>
    <row r="628" ht="71.25" customHeight="1"/>
    <row r="629" ht="71.25" customHeight="1"/>
    <row r="630" ht="71.25" customHeight="1"/>
    <row r="631" ht="71.25" customHeight="1"/>
    <row r="632" ht="71.25" customHeight="1"/>
    <row r="633" ht="71.25" customHeight="1"/>
    <row r="634" ht="71.25" customHeight="1"/>
    <row r="635" ht="71.25" customHeight="1"/>
    <row r="636" ht="71.25" customHeight="1"/>
    <row r="637" ht="71.25" customHeight="1"/>
    <row r="638" ht="71.25" customHeight="1"/>
    <row r="639" ht="71.25" customHeight="1"/>
    <row r="640" ht="71.25" customHeight="1"/>
    <row r="641" ht="71.25" customHeight="1"/>
    <row r="642" ht="71.25" customHeight="1"/>
    <row r="643" ht="71.25" customHeight="1"/>
    <row r="644" ht="71.25" customHeight="1"/>
    <row r="645" ht="71.25" customHeight="1"/>
    <row r="646" ht="71.25" customHeight="1"/>
    <row r="647" ht="71.25" customHeight="1"/>
    <row r="648" ht="71.25" customHeight="1"/>
    <row r="649" ht="71.25" customHeight="1"/>
    <row r="650" ht="71.25" customHeight="1"/>
    <row r="651" ht="71.25" customHeight="1"/>
    <row r="652" ht="71.25" customHeight="1"/>
    <row r="653" ht="71.25" customHeight="1"/>
    <row r="654" ht="71.25" customHeight="1"/>
    <row r="655" ht="71.25" customHeight="1"/>
    <row r="656" ht="71.25" customHeight="1"/>
    <row r="657" ht="71.25" customHeight="1"/>
    <row r="658" ht="71.25" customHeight="1"/>
    <row r="659" ht="71.25" customHeight="1"/>
    <row r="660" ht="71.25" customHeight="1"/>
    <row r="661" ht="71.25" customHeight="1"/>
    <row r="662" ht="71.25" customHeight="1"/>
    <row r="663" ht="71.25" customHeight="1"/>
    <row r="664" ht="71.25" customHeight="1"/>
    <row r="665" ht="71.25" customHeight="1"/>
    <row r="666" ht="71.25" customHeight="1"/>
    <row r="667" ht="71.25" customHeight="1"/>
    <row r="668" ht="71.25" customHeight="1"/>
    <row r="669" ht="71.25" customHeight="1"/>
    <row r="670" ht="71.25" customHeight="1"/>
    <row r="671" ht="71.25" customHeight="1"/>
    <row r="672" ht="71.25" customHeight="1"/>
    <row r="673" ht="71.25" customHeight="1"/>
    <row r="674" ht="71.25" customHeight="1"/>
    <row r="675" ht="71.25" customHeight="1"/>
    <row r="676" ht="71.25" customHeight="1"/>
    <row r="677" ht="71.25" customHeight="1"/>
    <row r="678" ht="71.25" customHeight="1"/>
    <row r="679" ht="71.25" customHeight="1"/>
    <row r="680" ht="71.25" customHeight="1"/>
    <row r="681" ht="71.25" customHeight="1"/>
    <row r="682" ht="71.25" customHeight="1"/>
    <row r="683" ht="71.25" customHeight="1"/>
    <row r="684" ht="71.25" customHeight="1"/>
    <row r="685" ht="71.25" customHeight="1"/>
    <row r="686" ht="71.25" customHeight="1"/>
    <row r="687" ht="71.25" customHeight="1"/>
    <row r="688" ht="71.25" customHeight="1"/>
    <row r="689" ht="71.25" customHeight="1"/>
    <row r="690" ht="71.25" customHeight="1"/>
    <row r="691" ht="71.25" customHeight="1"/>
    <row r="692" ht="71.25" customHeight="1"/>
    <row r="693" ht="71.25" customHeight="1"/>
    <row r="694" ht="71.25" customHeight="1"/>
    <row r="695" ht="71.25" customHeight="1"/>
    <row r="696" ht="71.25" customHeight="1"/>
    <row r="697" ht="71.25" customHeight="1"/>
    <row r="698" ht="71.25" customHeight="1"/>
    <row r="699" ht="71.25" customHeight="1"/>
    <row r="700" ht="71.25" customHeight="1"/>
    <row r="701" ht="71.25" customHeight="1"/>
    <row r="702" ht="71.25" customHeight="1"/>
    <row r="703" ht="71.25" customHeight="1"/>
    <row r="704" ht="71.25" customHeight="1"/>
    <row r="705" ht="71.25" customHeight="1"/>
    <row r="706" ht="71.25" customHeight="1"/>
    <row r="707" ht="71.25" customHeight="1"/>
    <row r="708" ht="71.25" customHeight="1"/>
    <row r="709" ht="71.25" customHeight="1"/>
    <row r="710" ht="71.25" customHeight="1"/>
    <row r="711" ht="71.25" customHeight="1"/>
    <row r="712" ht="71.25" customHeight="1"/>
    <row r="713" ht="71.25" customHeight="1"/>
    <row r="714" ht="71.25" customHeight="1"/>
    <row r="715" ht="71.25" customHeight="1"/>
    <row r="716" ht="71.25" customHeight="1"/>
    <row r="717" ht="71.25" customHeight="1"/>
    <row r="718" ht="71.25" customHeight="1"/>
    <row r="719" ht="71.25" customHeight="1"/>
    <row r="720" ht="71.25" customHeight="1"/>
    <row r="721" ht="71.25" customHeight="1"/>
    <row r="722" ht="71.25" customHeight="1"/>
    <row r="723" ht="71.25" customHeight="1"/>
    <row r="724" ht="71.25" customHeight="1"/>
    <row r="725" ht="71.25" customHeight="1"/>
    <row r="726" ht="71.25" customHeight="1"/>
    <row r="727" ht="71.25" customHeight="1"/>
    <row r="728" ht="71.25" customHeight="1"/>
    <row r="729" ht="71.25" customHeight="1"/>
    <row r="730" ht="71.25" customHeight="1"/>
    <row r="731" ht="71.25" customHeight="1"/>
    <row r="732" ht="71.25" customHeight="1"/>
    <row r="733" ht="71.25" customHeight="1"/>
    <row r="734" ht="71.25" customHeight="1"/>
    <row r="735" ht="71.25" customHeight="1"/>
    <row r="736" ht="71.25" customHeight="1"/>
    <row r="737" ht="71.25" customHeight="1"/>
    <row r="738" ht="71.25" customHeight="1"/>
    <row r="739" ht="71.25" customHeight="1"/>
    <row r="740" ht="71.25" customHeight="1"/>
    <row r="741" ht="71.25" customHeight="1"/>
    <row r="742" ht="71.25" customHeight="1"/>
    <row r="743" ht="71.25" customHeight="1"/>
    <row r="744" ht="71.25" customHeight="1"/>
    <row r="745" ht="71.25" customHeight="1"/>
    <row r="746" ht="71.25" customHeight="1"/>
    <row r="747" ht="71.25" customHeight="1"/>
    <row r="748" ht="71.25" customHeight="1"/>
    <row r="749" ht="71.25" customHeight="1"/>
    <row r="750" ht="71.25" customHeight="1"/>
    <row r="751" ht="71.25" customHeight="1"/>
    <row r="752" ht="71.25" customHeight="1"/>
    <row r="753" ht="71.25" customHeight="1"/>
    <row r="754" ht="71.25" customHeight="1"/>
    <row r="755" ht="71.25" customHeight="1"/>
    <row r="756" ht="71.25" customHeight="1"/>
    <row r="757" ht="71.25" customHeight="1"/>
    <row r="758" ht="71.25" customHeight="1"/>
    <row r="759" ht="71.25" customHeight="1"/>
    <row r="760" ht="71.25" customHeight="1"/>
    <row r="761" ht="71.25" customHeight="1"/>
    <row r="762" ht="71.25" customHeight="1"/>
    <row r="763" ht="71.25" customHeight="1"/>
    <row r="764" ht="71.25" customHeight="1"/>
    <row r="765" ht="71.25" customHeight="1"/>
    <row r="766" ht="71.25" customHeight="1"/>
    <row r="767" ht="71.25" customHeight="1"/>
    <row r="768" ht="71.25" customHeight="1"/>
    <row r="769" ht="71.25" customHeight="1"/>
    <row r="770" ht="71.25" customHeight="1"/>
    <row r="771" ht="71.25" customHeight="1"/>
    <row r="772" ht="71.25" customHeight="1"/>
    <row r="773" ht="71.25" customHeight="1"/>
    <row r="774" ht="71.25" customHeight="1"/>
    <row r="775" ht="71.25" customHeight="1"/>
    <row r="776" ht="71.25" customHeight="1"/>
    <row r="777" ht="71.25" customHeight="1"/>
    <row r="778" ht="71.25" customHeight="1"/>
    <row r="779" ht="71.25" customHeight="1"/>
    <row r="780" ht="71.25" customHeight="1"/>
    <row r="781" ht="71.25" customHeight="1"/>
    <row r="782" ht="71.25" customHeight="1"/>
    <row r="783" ht="71.25" customHeight="1"/>
    <row r="784" ht="71.25" customHeight="1"/>
    <row r="785" ht="71.25" customHeight="1"/>
    <row r="786" ht="71.25" customHeight="1"/>
    <row r="787" ht="71.25" customHeight="1"/>
    <row r="788" ht="71.25" customHeight="1"/>
    <row r="789" ht="71.25" customHeight="1"/>
    <row r="790" ht="71.25" customHeight="1"/>
    <row r="791" ht="71.25" customHeight="1"/>
    <row r="792" ht="71.25" customHeight="1"/>
    <row r="793" ht="71.25" customHeight="1"/>
    <row r="794" ht="71.25" customHeight="1"/>
    <row r="795" ht="71.25" customHeight="1"/>
    <row r="796" ht="71.25" customHeight="1"/>
    <row r="797" ht="71.25" customHeight="1"/>
    <row r="798" ht="71.25" customHeight="1"/>
    <row r="799" ht="71.25" customHeight="1"/>
    <row r="800" ht="71.25" customHeight="1"/>
    <row r="801" ht="71.25" customHeight="1"/>
    <row r="802" ht="71.25" customHeight="1"/>
    <row r="803" ht="71.25" customHeight="1"/>
    <row r="804" ht="71.25" customHeight="1"/>
    <row r="805" ht="71.25" customHeight="1"/>
    <row r="806" ht="71.25" customHeight="1"/>
    <row r="807" ht="71.25" customHeight="1"/>
    <row r="808" ht="71.25" customHeight="1"/>
    <row r="809" ht="71.25" customHeight="1"/>
    <row r="810" ht="71.25" customHeight="1"/>
    <row r="811" ht="71.25" customHeight="1"/>
    <row r="812" ht="71.25" customHeight="1"/>
    <row r="813" ht="71.25" customHeight="1"/>
    <row r="814" ht="71.25" customHeight="1"/>
    <row r="815" ht="71.25" customHeight="1"/>
    <row r="816" ht="71.25" customHeight="1"/>
    <row r="817" ht="71.25" customHeight="1"/>
    <row r="818" ht="71.25" customHeight="1"/>
    <row r="819" ht="71.25" customHeight="1"/>
    <row r="820" ht="71.25" customHeight="1"/>
    <row r="821" ht="71.25" customHeight="1"/>
    <row r="822" ht="71.25" customHeight="1"/>
    <row r="823" ht="71.25" customHeight="1"/>
    <row r="824" ht="71.25" customHeight="1"/>
    <row r="825" ht="71.25" customHeight="1"/>
    <row r="826" ht="71.25" customHeight="1"/>
    <row r="827" ht="71.25" customHeight="1"/>
    <row r="828" ht="71.25" customHeight="1"/>
    <row r="829" ht="71.25" customHeight="1"/>
    <row r="830" ht="71.25" customHeight="1"/>
    <row r="831" ht="71.25" customHeight="1"/>
    <row r="832" ht="71.25" customHeight="1"/>
    <row r="833" ht="71.25" customHeight="1"/>
    <row r="834" ht="71.25" customHeight="1"/>
    <row r="835" ht="71.25" customHeight="1"/>
    <row r="836" ht="71.25" customHeight="1"/>
    <row r="837" ht="71.25" customHeight="1"/>
    <row r="838" ht="71.25" customHeight="1"/>
    <row r="839" ht="71.25" customHeight="1"/>
    <row r="840" ht="71.25" customHeight="1"/>
    <row r="841" ht="71.25" customHeight="1"/>
    <row r="842" ht="71.25" customHeight="1"/>
    <row r="843" ht="71.25" customHeight="1"/>
    <row r="844" ht="71.25" customHeight="1"/>
    <row r="845" ht="71.25" customHeight="1"/>
    <row r="846" ht="71.25" customHeight="1"/>
    <row r="847" ht="71.25" customHeight="1"/>
    <row r="848" ht="71.25" customHeight="1"/>
    <row r="849" ht="71.25" customHeight="1"/>
    <row r="850" ht="71.25" customHeight="1"/>
    <row r="851" ht="71.25" customHeight="1"/>
    <row r="852" ht="71.25" customHeight="1"/>
    <row r="853" ht="71.25" customHeight="1"/>
    <row r="854" ht="71.25" customHeight="1"/>
    <row r="855" ht="71.25" customHeight="1"/>
    <row r="856" ht="71.25" customHeight="1"/>
    <row r="857" ht="71.25" customHeight="1"/>
    <row r="858" ht="71.25" customHeight="1"/>
    <row r="859" ht="71.25" customHeight="1"/>
    <row r="860" ht="71.25" customHeight="1"/>
    <row r="861" ht="71.25" customHeight="1"/>
    <row r="862" ht="71.25" customHeight="1"/>
    <row r="863" ht="71.25" customHeight="1"/>
    <row r="864" ht="71.25" customHeight="1"/>
    <row r="865" ht="71.25" customHeight="1"/>
    <row r="866" ht="71.25" customHeight="1"/>
    <row r="867" ht="71.25" customHeight="1"/>
    <row r="868" ht="71.25" customHeight="1"/>
    <row r="869" ht="71.25" customHeight="1"/>
    <row r="870" ht="71.25" customHeight="1"/>
    <row r="871" ht="71.25" customHeight="1"/>
    <row r="872" ht="71.25" customHeight="1"/>
    <row r="873" ht="71.25" customHeight="1"/>
    <row r="874" ht="71.25" customHeight="1"/>
    <row r="875" ht="71.25" customHeight="1"/>
    <row r="876" ht="71.25" customHeight="1"/>
    <row r="877" ht="71.25" customHeight="1"/>
    <row r="878" ht="71.25" customHeight="1"/>
    <row r="879" ht="71.25" customHeight="1"/>
    <row r="880" ht="71.25" customHeight="1"/>
    <row r="881" ht="71.25" customHeight="1"/>
    <row r="882" ht="71.25" customHeight="1"/>
    <row r="883" ht="71.25" customHeight="1"/>
    <row r="884" ht="71.25" customHeight="1"/>
    <row r="885" ht="71.25" customHeight="1"/>
    <row r="886" ht="71.25" customHeight="1"/>
    <row r="887" ht="71.25" customHeight="1"/>
    <row r="888" ht="71.25" customHeight="1"/>
    <row r="889" ht="71.25" customHeight="1"/>
    <row r="890" ht="71.25" customHeight="1"/>
    <row r="891" ht="71.25" customHeight="1"/>
    <row r="892" ht="71.25" customHeight="1"/>
    <row r="893" ht="71.25" customHeight="1"/>
    <row r="894" ht="71.25" customHeight="1"/>
    <row r="895" ht="71.25" customHeight="1"/>
    <row r="896" ht="71.25" customHeight="1"/>
    <row r="897" ht="71.25" customHeight="1"/>
    <row r="898" ht="71.25" customHeight="1"/>
    <row r="899" ht="71.25" customHeight="1"/>
    <row r="900" ht="71.25" customHeight="1"/>
    <row r="901" ht="71.25" customHeight="1"/>
    <row r="902" ht="71.25" customHeight="1"/>
    <row r="903" ht="71.25" customHeight="1"/>
    <row r="904" ht="71.25" customHeight="1"/>
    <row r="905" ht="71.25" customHeight="1"/>
    <row r="906" ht="71.25" customHeight="1"/>
    <row r="907" ht="71.25" customHeight="1"/>
    <row r="908" ht="71.25" customHeight="1"/>
    <row r="909" ht="71.25" customHeight="1"/>
    <row r="910" ht="71.25" customHeight="1"/>
    <row r="911" ht="71.25" customHeight="1"/>
    <row r="912" ht="71.25" customHeight="1"/>
    <row r="913" ht="71.25" customHeight="1"/>
    <row r="914" ht="71.25" customHeight="1"/>
    <row r="915" ht="71.25" customHeight="1"/>
    <row r="916" ht="71.25" customHeight="1"/>
    <row r="917" ht="71.25" customHeight="1"/>
    <row r="918" ht="71.25" customHeight="1"/>
    <row r="919" ht="71.25" customHeight="1"/>
    <row r="920" ht="71.25" customHeight="1"/>
    <row r="921" ht="71.25" customHeight="1"/>
    <row r="922" ht="71.25" customHeight="1"/>
    <row r="923" ht="71.25" customHeight="1"/>
    <row r="924" ht="71.25" customHeight="1"/>
    <row r="925" ht="71.25" customHeight="1"/>
    <row r="926" ht="71.25" customHeight="1"/>
    <row r="927" ht="71.25" customHeight="1"/>
    <row r="928" ht="71.25" customHeight="1"/>
    <row r="929" ht="71.25" customHeight="1"/>
    <row r="930" ht="71.25" customHeight="1"/>
    <row r="931" ht="71.25" customHeight="1"/>
    <row r="932" ht="71.25" customHeight="1"/>
    <row r="933" ht="71.25" customHeight="1"/>
    <row r="934" ht="71.25" customHeight="1"/>
    <row r="935" ht="71.25" customHeight="1"/>
    <row r="936" ht="71.25" customHeight="1"/>
    <row r="937" ht="71.25" customHeight="1"/>
    <row r="938" ht="71.25" customHeight="1"/>
    <row r="939" ht="71.25" customHeight="1"/>
    <row r="940" ht="71.25" customHeight="1"/>
    <row r="941" ht="71.25" customHeight="1"/>
    <row r="942" ht="71.25" customHeight="1"/>
    <row r="943" ht="71.25" customHeight="1"/>
    <row r="944" ht="71.25" customHeight="1"/>
    <row r="945" ht="71.25" customHeight="1"/>
    <row r="946" ht="71.25" customHeight="1"/>
    <row r="947" ht="71.25" customHeight="1"/>
    <row r="948" ht="71.25" customHeight="1"/>
    <row r="949" ht="71.25" customHeight="1"/>
    <row r="950" ht="71.25" customHeight="1"/>
    <row r="951" ht="71.25" customHeight="1"/>
    <row r="952" ht="71.25" customHeight="1"/>
    <row r="953" ht="71.25" customHeight="1"/>
    <row r="954" ht="71.25" customHeight="1"/>
    <row r="955" ht="71.25" customHeight="1"/>
    <row r="956" ht="71.25" customHeight="1"/>
    <row r="957" ht="71.25" customHeight="1"/>
    <row r="958" ht="71.25" customHeight="1"/>
    <row r="959" ht="71.25" customHeight="1"/>
    <row r="960" ht="71.25" customHeight="1"/>
    <row r="961" ht="71.25" customHeight="1"/>
    <row r="962" ht="71.25" customHeight="1"/>
    <row r="963" ht="71.25" customHeight="1"/>
    <row r="964" ht="71.25" customHeight="1"/>
    <row r="965" ht="71.25" customHeight="1"/>
    <row r="966" ht="71.25" customHeight="1"/>
    <row r="967" ht="71.25" customHeight="1"/>
    <row r="968" ht="71.25" customHeight="1"/>
    <row r="969" ht="71.25" customHeight="1"/>
    <row r="970" ht="71.25" customHeight="1"/>
    <row r="971" ht="71.25" customHeight="1"/>
    <row r="972" ht="71.25" customHeight="1"/>
    <row r="973" ht="71.25" customHeight="1"/>
    <row r="974" ht="71.25" customHeight="1"/>
    <row r="975" ht="71.25" customHeight="1"/>
    <row r="976" ht="71.25" customHeight="1"/>
    <row r="977" ht="71.25" customHeight="1"/>
    <row r="978" ht="71.25" customHeight="1"/>
    <row r="979" ht="71.25" customHeight="1"/>
    <row r="980" ht="71.25" customHeight="1"/>
    <row r="981" ht="71.25" customHeight="1"/>
    <row r="982" ht="71.25" customHeight="1"/>
    <row r="983" ht="71.25" customHeight="1"/>
    <row r="984" ht="71.25" customHeight="1"/>
    <row r="985" ht="71.25" customHeight="1"/>
    <row r="986" ht="71.25" customHeight="1"/>
    <row r="987" ht="71.25" customHeight="1"/>
    <row r="988" ht="71.25" customHeight="1"/>
    <row r="989" ht="71.25" customHeight="1"/>
    <row r="990" ht="71.25" customHeight="1"/>
    <row r="991" ht="71.25" customHeight="1"/>
    <row r="992" ht="71.25" customHeight="1"/>
    <row r="993" ht="71.25" customHeight="1"/>
    <row r="994" ht="71.25" customHeight="1"/>
    <row r="995" ht="71.25" customHeight="1"/>
    <row r="996" ht="71.25" customHeight="1"/>
    <row r="997" ht="71.25" customHeight="1"/>
    <row r="998" ht="71.25" customHeight="1"/>
    <row r="999" ht="71.25" customHeight="1"/>
    <row r="1000" ht="71.25" customHeight="1"/>
  </sheetData>
  <customSheetViews>
    <customSheetView guid="{E574F96D-7E82-42C1-BF21-CE383A1E5E4F}" filter="1" showAutoFilter="1">
      <autoFilter ref="$A$1:$K$101">
        <filterColumn colId="9">
          <filters blank="1">
            <filter val="felipe heredia"/>
            <filter val="Felipe Heredia"/>
            <filter val="Bastian Moya"/>
          </filters>
        </filterColumn>
      </autoFilter>
      <extLst>
        <ext uri="GoogleSheetsCustomDataVersion1">
          <go:sheetsCustomData xmlns:go="http://customooxmlschemas.google.com/" filterViewId="273564650"/>
        </ext>
      </extLst>
    </customSheetView>
  </customSheetViews>
  <dataValidations>
    <dataValidation type="list" allowBlank="1" showErrorMessage="1" sqref="C2:C101">
      <formula1>'Datos del plan'!$A$1:$A$8</formula1>
    </dataValidation>
    <dataValidation type="list" allowBlank="1" showErrorMessage="1" sqref="H2:H101">
      <formula1>'Datos del plan'!$D$1:$D$2</formula1>
    </dataValidation>
    <dataValidation type="list" allowBlank="1" showErrorMessage="1" sqref="G2:G101">
      <formula1>'Datos del plan'!$B$1:$B$5</formula1>
    </dataValidation>
    <dataValidation type="list" allowBlank="1" showErrorMessage="1" sqref="K2:K48 K50:K101">
      <formula1>'Datos del plan'!$C$1:$C$3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1.57"/>
    <col customWidth="1" min="5" max="5" width="4.86"/>
    <col customWidth="1" min="6" max="6" width="17.0"/>
    <col customWidth="1" min="7" max="11" width="10.71"/>
    <col customWidth="1" min="12" max="12" width="5.43"/>
    <col customWidth="1" min="13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W1" s="1"/>
    </row>
    <row r="2" ht="14.25" customHeight="1">
      <c r="A2" s="1"/>
      <c r="B2" s="44"/>
      <c r="C2" s="44"/>
      <c r="D2" s="4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Z2" s="1"/>
    </row>
    <row r="3" ht="14.25" customHeight="1">
      <c r="A3" s="1"/>
      <c r="B3" s="44"/>
      <c r="C3" s="44"/>
      <c r="D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Z3" s="1"/>
    </row>
    <row r="4" ht="14.25" customHeight="1">
      <c r="A4" s="1"/>
      <c r="B4" s="44"/>
      <c r="C4" s="44"/>
      <c r="D4" s="4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45"/>
      <c r="Q5" s="1"/>
      <c r="R5" s="1"/>
      <c r="Z5" s="1"/>
    </row>
    <row r="6" ht="14.25" customHeight="1">
      <c r="A6" s="1"/>
      <c r="B6" s="46" t="s">
        <v>162</v>
      </c>
      <c r="C6" s="47" t="s">
        <v>19</v>
      </c>
      <c r="D6" s="48">
        <f>COUNTIF('Identificación Casos'!G2:G12,Control!C6)</f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45"/>
      <c r="Q6" s="1"/>
      <c r="R6" s="1"/>
      <c r="Z6" s="1"/>
    </row>
    <row r="7" ht="14.25" customHeight="1">
      <c r="A7" s="1"/>
      <c r="B7" s="49"/>
      <c r="C7" s="47" t="s">
        <v>46</v>
      </c>
      <c r="D7" s="48">
        <f>COUNTIF('Identificación Casos'!G2:G12,Control!C7)</f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Z7" s="1"/>
    </row>
    <row r="8" ht="14.25" customHeight="1">
      <c r="A8" s="1"/>
      <c r="B8" s="49"/>
      <c r="C8" s="47" t="s">
        <v>163</v>
      </c>
      <c r="D8" s="48">
        <f>COUNTIF('Identificación Casos'!$G$2:G36,C8)</f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Z8" s="1"/>
    </row>
    <row r="9" ht="14.25" customHeight="1">
      <c r="A9" s="1"/>
      <c r="B9" s="49"/>
      <c r="C9" s="47" t="s">
        <v>164</v>
      </c>
      <c r="D9" s="48">
        <f>COUNTIF('Identificación Casos'!$G$2:G37,C9)</f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45"/>
      <c r="P9" s="1"/>
      <c r="Q9" s="1"/>
      <c r="R9" s="1"/>
      <c r="Z9" s="1"/>
    </row>
    <row r="10" ht="14.25" customHeight="1">
      <c r="A10" s="1"/>
      <c r="B10" s="50"/>
      <c r="C10" s="47" t="s">
        <v>165</v>
      </c>
      <c r="D10" s="48">
        <f>COUNTIF('Identificación Casos'!$G$2:G38,C10)</f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Z10" s="1"/>
    </row>
    <row r="11" ht="14.25" customHeight="1">
      <c r="A11" s="1"/>
      <c r="B11" s="51"/>
      <c r="C11" s="51"/>
      <c r="D11" s="5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Z11" s="1"/>
    </row>
    <row r="12" ht="14.25" customHeight="1">
      <c r="A12" s="1"/>
      <c r="B12" s="51"/>
      <c r="C12" s="51"/>
      <c r="D12" s="5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Z12" s="1"/>
    </row>
    <row r="13" ht="14.25" customHeight="1">
      <c r="A13" s="1"/>
      <c r="B13" s="53" t="s">
        <v>166</v>
      </c>
      <c r="C13" s="54"/>
      <c r="D13" s="48">
        <f>COUNTIF('Identificación Casos'!A2:A34,"*")</f>
        <v>28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Z13" s="1"/>
    </row>
    <row r="14" ht="14.25" customHeight="1">
      <c r="A14" s="1"/>
      <c r="B14" s="51"/>
      <c r="C14" s="51"/>
      <c r="D14" s="5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Z14" s="1"/>
    </row>
    <row r="15" ht="14.25" customHeight="1">
      <c r="A15" s="1"/>
      <c r="B15" s="51"/>
      <c r="C15" s="51"/>
      <c r="D15" s="5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Z15" s="1"/>
    </row>
    <row r="16" ht="14.25" customHeight="1">
      <c r="A16" s="1"/>
      <c r="B16" s="55" t="s">
        <v>167</v>
      </c>
      <c r="C16" s="56"/>
      <c r="D16" s="57">
        <f>SUM(D6+D7+D9+D10)/D13</f>
        <v>0.3928571429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Z16" s="1"/>
    </row>
    <row r="17" ht="14.25" customHeight="1">
      <c r="A17" s="1"/>
      <c r="B17" s="58"/>
      <c r="C17" s="59"/>
      <c r="D17" s="50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60"/>
      <c r="N20" s="8"/>
      <c r="O20" s="1"/>
      <c r="P20" s="1"/>
      <c r="Q20" s="1"/>
      <c r="R20" s="1"/>
      <c r="Z20" s="1"/>
    </row>
    <row r="21" ht="14.25" customHeight="1">
      <c r="A21" s="1"/>
      <c r="B21" s="45"/>
      <c r="C21" s="1"/>
      <c r="D21" s="1"/>
      <c r="E21" s="1"/>
      <c r="F21" s="1"/>
      <c r="G21" s="1"/>
      <c r="H21" s="1"/>
      <c r="I21" s="1"/>
      <c r="J21" s="1"/>
      <c r="K21" s="1"/>
      <c r="L21" s="1"/>
      <c r="M21" s="9"/>
      <c r="O21" s="1"/>
      <c r="P21" s="1"/>
      <c r="Q21" s="1"/>
      <c r="R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R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R23" s="1"/>
    </row>
    <row r="24" ht="14.25" customHeight="1">
      <c r="A24" s="1"/>
      <c r="D24" s="1"/>
      <c r="E24" s="1"/>
      <c r="F24" s="1"/>
      <c r="G24" s="1"/>
      <c r="H24" s="1"/>
      <c r="I24" s="1"/>
      <c r="J24" s="1"/>
      <c r="R24" s="1"/>
    </row>
    <row r="25" ht="14.25" customHeight="1">
      <c r="A25" s="1"/>
      <c r="D25" s="1"/>
      <c r="E25" s="1"/>
      <c r="F25" s="1"/>
      <c r="G25" s="1"/>
      <c r="H25" s="1"/>
      <c r="I25" s="1"/>
      <c r="J25" s="1"/>
      <c r="R25" s="1"/>
    </row>
    <row r="26" ht="14.25" customHeight="1">
      <c r="A26" s="1"/>
      <c r="D26" s="1"/>
      <c r="E26" s="1"/>
      <c r="F26" s="1"/>
      <c r="G26" s="1"/>
      <c r="H26" s="1"/>
      <c r="I26" s="1"/>
      <c r="J26" s="1"/>
      <c r="R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61" t="s">
        <v>168</v>
      </c>
      <c r="C36" s="62"/>
      <c r="D36" s="56"/>
      <c r="E36" s="63" t="s">
        <v>169</v>
      </c>
      <c r="F36" s="54"/>
      <c r="G36" s="64">
        <f>COUNTIF('Identificación Casos'!J2:J1002,E36)</f>
        <v>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65"/>
      <c r="D37" s="66"/>
      <c r="E37" s="63" t="s">
        <v>170</v>
      </c>
      <c r="F37" s="54"/>
      <c r="G37" s="67">
        <f>COUNTIF('Identificación Casos'!J3:J1003,E37)</f>
        <v>0</v>
      </c>
      <c r="H37" s="20"/>
      <c r="I37" s="20"/>
      <c r="J37" s="20"/>
      <c r="K37" s="2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58"/>
      <c r="C38" s="68"/>
      <c r="D38" s="59"/>
      <c r="E38" s="63" t="s">
        <v>171</v>
      </c>
      <c r="F38" s="54"/>
      <c r="G38" s="69">
        <f>COUNTIF('Identificación Casos'!J4:J1004,E38)</f>
        <v>0</v>
      </c>
      <c r="H38" s="20"/>
      <c r="I38" s="20"/>
      <c r="J38" s="20"/>
      <c r="K38" s="2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H39" s="20"/>
      <c r="I39" s="20"/>
      <c r="J39" s="20"/>
      <c r="K39" s="2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F40" s="43" t="s">
        <v>172</v>
      </c>
      <c r="G40" s="20">
        <f>SUM(G36:G38)</f>
        <v>0</v>
      </c>
      <c r="H40" s="20"/>
      <c r="I40" s="20"/>
      <c r="J40" s="2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20"/>
      <c r="I41" s="20"/>
      <c r="J41" s="2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E37:F37"/>
    <mergeCell ref="E38:F38"/>
    <mergeCell ref="B6:B10"/>
    <mergeCell ref="B13:C13"/>
    <mergeCell ref="B16:C17"/>
    <mergeCell ref="D16:D17"/>
    <mergeCell ref="M20:N21"/>
    <mergeCell ref="B36:D38"/>
    <mergeCell ref="E36:F3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20" t="s">
        <v>15</v>
      </c>
      <c r="B1" s="20" t="s">
        <v>19</v>
      </c>
      <c r="C1" s="43" t="s">
        <v>41</v>
      </c>
      <c r="D1" s="43" t="s">
        <v>173</v>
      </c>
    </row>
    <row r="2" ht="14.25" customHeight="1">
      <c r="A2" s="20" t="s">
        <v>174</v>
      </c>
      <c r="B2" s="20" t="s">
        <v>46</v>
      </c>
      <c r="C2" s="43" t="s">
        <v>23</v>
      </c>
      <c r="D2" s="43" t="s">
        <v>20</v>
      </c>
    </row>
    <row r="3" ht="14.25" customHeight="1">
      <c r="A3" s="20" t="s">
        <v>175</v>
      </c>
      <c r="B3" s="20" t="s">
        <v>163</v>
      </c>
      <c r="C3" s="43" t="s">
        <v>34</v>
      </c>
    </row>
    <row r="4" ht="14.25" customHeight="1">
      <c r="A4" s="20" t="s">
        <v>176</v>
      </c>
      <c r="B4" s="20" t="s">
        <v>164</v>
      </c>
    </row>
    <row r="5" ht="14.25" customHeight="1">
      <c r="A5" s="20" t="s">
        <v>177</v>
      </c>
      <c r="B5" s="20" t="s">
        <v>165</v>
      </c>
    </row>
    <row r="6" ht="14.25" customHeight="1">
      <c r="A6" s="20" t="s">
        <v>178</v>
      </c>
    </row>
    <row r="7" ht="14.25" customHeight="1">
      <c r="A7" s="20" t="s">
        <v>179</v>
      </c>
    </row>
    <row r="8" ht="14.25" customHeight="1">
      <c r="A8" s="20" t="s">
        <v>180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